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a10ac9620f7704/Desktop/data analyst 2/"/>
    </mc:Choice>
  </mc:AlternateContent>
  <xr:revisionPtr revIDLastSave="1" documentId="8_{F89ADB22-E93C-41C9-A765-47A213B66F07}" xr6:coauthVersionLast="47" xr6:coauthVersionMax="47" xr10:uidLastSave="{ACC8A8DE-7DE9-400B-971C-9C1D3A630917}"/>
  <bookViews>
    <workbookView xWindow="-108" yWindow="-108" windowWidth="23256" windowHeight="12456" xr2:uid="{9D21617B-0349-493F-B606-768623BB9D05}"/>
  </bookViews>
  <sheets>
    <sheet name="Sheet1" sheetId="1" r:id="rId1"/>
  </sheet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11" i="1"/>
  <c r="C4" i="1"/>
  <c r="C5" i="1"/>
  <c r="C6" i="1"/>
  <c r="C7" i="1"/>
  <c r="C8" i="1"/>
  <c r="C9" i="1"/>
  <c r="C10" i="1"/>
  <c r="C12" i="1"/>
  <c r="C13" i="1"/>
  <c r="C14" i="1"/>
  <c r="C15" i="1"/>
  <c r="C16" i="1"/>
  <c r="C17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L1" i="1"/>
  <c r="L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<sst xmlns="http://schemas.openxmlformats.org/spreadsheetml/2006/main" count="117" uniqueCount="61">
  <si>
    <t>STORE:</t>
  </si>
  <si>
    <t>ATTAPUR-2</t>
  </si>
  <si>
    <t>S.NO</t>
  </si>
  <si>
    <t>DATE</t>
  </si>
  <si>
    <t>CUSTOMER NAME</t>
  </si>
  <si>
    <t>PRODUCT</t>
  </si>
  <si>
    <t>PRICE</t>
  </si>
  <si>
    <t>EXE NAME</t>
  </si>
  <si>
    <t>BFL LOGIN ID</t>
  </si>
  <si>
    <t>STATUS</t>
  </si>
  <si>
    <t>IDFC LOGIN ID</t>
  </si>
  <si>
    <t>HDB LOGIN ID</t>
  </si>
  <si>
    <t>ICICI LOGIN ID</t>
  </si>
  <si>
    <t>TVS LOGIN ID</t>
  </si>
  <si>
    <t>STTAUS</t>
  </si>
  <si>
    <t>FINAL STATUS</t>
  </si>
  <si>
    <t>REJECT REASON</t>
  </si>
  <si>
    <t>PHONE NUMBER</t>
  </si>
  <si>
    <t>reject</t>
  </si>
  <si>
    <t>APPLE 15</t>
  </si>
  <si>
    <t>b.vinod</t>
  </si>
  <si>
    <t>A6X</t>
  </si>
  <si>
    <t>negitive area</t>
  </si>
  <si>
    <t>F31</t>
  </si>
  <si>
    <t>NORD 5</t>
  </si>
  <si>
    <t>NOTE 15</t>
  </si>
  <si>
    <t>REJECT</t>
  </si>
  <si>
    <t>APPROVED</t>
  </si>
  <si>
    <t>MOHD AHMED</t>
  </si>
  <si>
    <t>KHADEER</t>
  </si>
  <si>
    <t>APPLE 17</t>
  </si>
  <si>
    <t>AHMED</t>
  </si>
  <si>
    <t>MOHD ISMAL</t>
  </si>
  <si>
    <t>FARHANA BEGUM</t>
  </si>
  <si>
    <t>SHAIK NIZAM</t>
  </si>
  <si>
    <t>NOTE 14</t>
  </si>
  <si>
    <t>AYESH SIDDIQUE</t>
  </si>
  <si>
    <t>AWAIS KHAN</t>
  </si>
  <si>
    <t>RUBEENA BEGUM</t>
  </si>
  <si>
    <t>SYED ABDALRAHMEN</t>
  </si>
  <si>
    <t>K BUCHAPPA</t>
  </si>
  <si>
    <t>vijay</t>
  </si>
  <si>
    <t>cibil-725</t>
  </si>
  <si>
    <t>cibil-780</t>
  </si>
  <si>
    <t>cibil-746</t>
  </si>
  <si>
    <t>cibil-785</t>
  </si>
  <si>
    <t>cibil-773</t>
  </si>
  <si>
    <t>cibil-730</t>
  </si>
  <si>
    <t>john</t>
  </si>
  <si>
    <t>SYED IBRAHIM</t>
  </si>
  <si>
    <t>NORD CE5</t>
  </si>
  <si>
    <t>1244/25/S-46726</t>
  </si>
  <si>
    <t>MOHD WAHEED</t>
  </si>
  <si>
    <t>SAM AC</t>
  </si>
  <si>
    <t>SHABAD</t>
  </si>
  <si>
    <t>1244/25/S-46713</t>
  </si>
  <si>
    <t>MOHD MAHMOOD</t>
  </si>
  <si>
    <t>Y400PRO</t>
  </si>
  <si>
    <t>AYESHA SIDDIQE</t>
  </si>
  <si>
    <t>1244/25/S-46722</t>
  </si>
  <si>
    <t>K SRILATHA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</si>
</sst>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96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Roboto"/>
    </font>
    <font>
      <u/>
      <sz val="9"/>
      <color theme="10"/>
      <name val="Calibri"/>
      <family val="2"/>
      <scheme val="minor"/>
    </font>
    <font>
      <sz val="9"/>
      <color rgb="FF333333"/>
      <name val="Roboto"/>
    </font>
    <font>
      <sz val="10"/>
      <color theme="1"/>
      <name val="Roboto"/>
    </font>
    <font>
      <u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sz val="12"/>
      <color indexed="8"/>
      <name val="Calibri"/>
      <family val="2"/>
    </font>
    <font>
      <sz val="11"/>
      <color indexed="63"/>
      <name val="Roboto"/>
    </font>
    <font>
      <b/>
      <sz val="12"/>
      <color indexed="63"/>
      <name val="Arial"/>
      <family val="2"/>
    </font>
    <font>
      <u/>
      <sz val="12"/>
      <color indexed="30"/>
      <name val="Calibri"/>
      <family val="2"/>
    </font>
    <font>
      <b/>
      <sz val="12"/>
      <color indexed="56"/>
      <name val="Arial"/>
      <family val="2"/>
    </font>
    <font>
      <b/>
      <sz val="12"/>
      <color indexed="8"/>
      <name val="Calibri"/>
      <family val="2"/>
    </font>
    <font>
      <sz val="11"/>
      <name val="Calibri"/>
      <family val="2"/>
      <scheme val="minor"/>
    </font>
    <font>
      <b/>
      <sz val="9"/>
      <color theme="1"/>
      <name val="Roboto"/>
    </font>
    <font>
      <u/>
      <sz val="9"/>
      <color theme="1"/>
      <name val="Roboto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2"/>
      <color theme="1"/>
      <name val="Roboto"/>
    </font>
    <font>
      <b/>
      <sz val="12"/>
      <color theme="1"/>
      <name val="Roboto"/>
    </font>
    <font>
      <u/>
      <sz val="11"/>
      <color theme="1"/>
      <name val="Roboto"/>
    </font>
    <font>
      <b/>
      <sz val="8"/>
      <color theme="1"/>
      <name val="Roboto"/>
    </font>
    <font>
      <sz val="11"/>
      <name val="Calibri"/>
      <family val="2"/>
      <charset val="1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sz val="11"/>
      <color theme="1"/>
      <name val="Calibri1"/>
      <family val="2"/>
    </font>
    <font>
      <b/>
      <sz val="11"/>
      <color theme="1"/>
      <name val="Calibri1"/>
      <family val="2"/>
    </font>
    <font>
      <b/>
      <sz val="11"/>
      <color rgb="FFFFFFFF"/>
      <name val="Calibri1"/>
      <family val="2"/>
    </font>
    <font>
      <sz val="11"/>
      <color rgb="FFCC0000"/>
      <name val="Calibri1"/>
      <family val="2"/>
    </font>
    <font>
      <i/>
      <sz val="11"/>
      <color rgb="FF808080"/>
      <name val="Calibri1"/>
      <family val="2"/>
    </font>
    <font>
      <sz val="11"/>
      <color rgb="FF006600"/>
      <name val="Calibri1"/>
      <family val="2"/>
    </font>
    <font>
      <b/>
      <sz val="24"/>
      <color rgb="FF000000"/>
      <name val="Calibri1"/>
      <family val="2"/>
    </font>
    <font>
      <b/>
      <sz val="18"/>
      <color rgb="FF000000"/>
      <name val="Calibri1"/>
      <family val="2"/>
    </font>
    <font>
      <b/>
      <sz val="12"/>
      <color rgb="FF000000"/>
      <name val="Calibri1"/>
      <family val="2"/>
    </font>
    <font>
      <u/>
      <sz val="11"/>
      <color rgb="FF0000EE"/>
      <name val="Calibri1"/>
      <family val="2"/>
    </font>
    <font>
      <sz val="11"/>
      <color rgb="FF996600"/>
      <name val="Calibri1"/>
      <family val="2"/>
    </font>
    <font>
      <sz val="11"/>
      <color rgb="FF333333"/>
      <name val="Calibri1"/>
      <family val="2"/>
    </font>
    <font>
      <b/>
      <i/>
      <u/>
      <sz val="11"/>
      <color theme="1"/>
      <name val="Calibri1"/>
      <family val="2"/>
    </font>
    <font>
      <b/>
      <sz val="9"/>
      <color theme="1"/>
      <name val="Arial"/>
      <family val="2"/>
    </font>
    <font>
      <b/>
      <sz val="9"/>
      <color theme="1"/>
      <name val="Salesforce Sans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theme="1"/>
      <name val="Calibri"/>
      <family val="2"/>
    </font>
    <font>
      <b/>
      <sz val="9"/>
      <color indexed="63"/>
      <name val="Roboto"/>
    </font>
    <font>
      <sz val="9"/>
      <color indexed="8"/>
      <name val="Calibri"/>
      <family val="2"/>
    </font>
    <font>
      <b/>
      <sz val="9"/>
      <color indexed="63"/>
      <name val="Salesforce Sans"/>
      <charset val="134"/>
    </font>
    <font>
      <sz val="9"/>
      <color indexed="63"/>
      <name val="Roboto"/>
    </font>
    <font>
      <sz val="9"/>
      <color theme="1"/>
      <name val="Calibri"/>
      <family val="2"/>
    </font>
    <font>
      <sz val="9"/>
      <color theme="1"/>
      <name val="Calibri"/>
      <family val="2"/>
      <charset val="1"/>
    </font>
    <font>
      <sz val="11"/>
      <color rgb="FF333333"/>
      <name val="Roboto"/>
    </font>
    <font>
      <b/>
      <sz val="8"/>
      <color rgb="FF232758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rgb="FF232323"/>
      <name val="Salesforce Sans"/>
    </font>
    <font>
      <b/>
      <sz val="7"/>
      <color rgb="FF232323"/>
      <name val="Roboto"/>
    </font>
    <font>
      <b/>
      <sz val="8"/>
      <color rgb="FF232323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rgb="FF232323"/>
      <name val="Roboto"/>
    </font>
    <font>
      <b/>
      <sz val="10"/>
      <color theme="1"/>
      <name val="Roboto"/>
    </font>
    <font>
      <b/>
      <sz val="10"/>
      <color rgb="FF333333"/>
      <name val="Roboto"/>
    </font>
    <font>
      <b/>
      <sz val="9"/>
      <color rgb="FF232323"/>
      <name val="Salesforce Sans"/>
    </font>
    <font>
      <b/>
      <sz val="8"/>
      <color rgb="FF333333"/>
      <name val="Roboto"/>
    </font>
    <font>
      <b/>
      <sz val="8"/>
      <color rgb="FF333333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14"/>
      <color theme="1"/>
      <name val="Roboto"/>
    </font>
    <font>
      <sz val="14"/>
      <color rgb="FF333333"/>
      <name val="Roboto"/>
    </font>
    <font>
      <u/>
      <sz val="14"/>
      <color theme="10"/>
      <name val="Roboto"/>
    </font>
    <font>
      <sz val="10"/>
      <color rgb="FF333333"/>
      <name val="Roboto"/>
    </font>
    <font>
      <b/>
      <sz val="10"/>
      <color rgb="FF232758"/>
      <name val="Arial"/>
      <family val="2"/>
    </font>
    <font>
      <b/>
      <sz val="10"/>
      <color rgb="FF232323"/>
      <name val="Arial"/>
      <family val="2"/>
    </font>
    <font>
      <b/>
      <sz val="11"/>
      <color rgb="FF333333"/>
      <name val="Roboto"/>
    </font>
    <font>
      <b/>
      <sz val="10"/>
      <color rgb="FF232323"/>
      <name val="Salesforce Sans"/>
    </font>
    <font>
      <b/>
      <sz val="11"/>
      <color rgb="FF232323"/>
      <name val="Roboto"/>
    </font>
    <font>
      <b/>
      <sz val="10"/>
      <color rgb="FF232758"/>
      <name val="Roboto"/>
    </font>
  </fonts>
  <fills count="12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medium">
        <color rgb="FFA7C0DE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medium">
        <color rgb="FFC0BEBE"/>
      </top>
      <bottom style="medium">
        <color rgb="FFC0BEBE"/>
      </bottom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0" fontId="7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23" fillId="0" borderId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32" fillId="0" borderId="0"/>
    <xf numFmtId="0" fontId="33" fillId="0" borderId="9" applyProtection="0"/>
    <xf numFmtId="0" fontId="34" fillId="0" borderId="10" applyProtection="0"/>
    <xf numFmtId="0" fontId="35" fillId="0" borderId="0"/>
    <xf numFmtId="0" fontId="42" fillId="0" borderId="0"/>
    <xf numFmtId="0" fontId="43" fillId="0" borderId="0"/>
    <xf numFmtId="0" fontId="40" fillId="10" borderId="0"/>
    <xf numFmtId="0" fontId="38" fillId="8" borderId="0"/>
    <xf numFmtId="0" fontId="45" fillId="11" borderId="0"/>
    <xf numFmtId="0" fontId="46" fillId="11" borderId="13"/>
    <xf numFmtId="0" fontId="36" fillId="0" borderId="0"/>
    <xf numFmtId="0" fontId="37" fillId="5" borderId="0"/>
    <xf numFmtId="0" fontId="37" fillId="6" borderId="0"/>
    <xf numFmtId="0" fontId="36" fillId="7" borderId="0"/>
    <xf numFmtId="0" fontId="37" fillId="9" borderId="0"/>
    <xf numFmtId="0" fontId="33" fillId="0" borderId="11"/>
    <xf numFmtId="0" fontId="34" fillId="0" borderId="12"/>
    <xf numFmtId="0" fontId="39" fillId="0" borderId="0"/>
    <xf numFmtId="0" fontId="41" fillId="0" borderId="0"/>
    <xf numFmtId="0" fontId="44" fillId="0" borderId="0"/>
    <xf numFmtId="0" fontId="47" fillId="0" borderId="0"/>
    <xf numFmtId="0" fontId="35" fillId="0" borderId="0"/>
    <xf numFmtId="0" fontId="35" fillId="0" borderId="0"/>
    <xf numFmtId="0" fontId="38" fillId="0" borderId="0"/>
    <xf numFmtId="0" fontId="51" fillId="0" borderId="0"/>
    <xf numFmtId="0" fontId="58" fillId="0" borderId="0"/>
    <xf numFmtId="0" fontId="59" fillId="0" borderId="0"/>
    <xf numFmtId="0" fontId="56" fillId="10" borderId="0"/>
    <xf numFmtId="0" fontId="54" fillId="8" borderId="0"/>
    <xf numFmtId="0" fontId="61" fillId="11" borderId="0"/>
    <xf numFmtId="0" fontId="62" fillId="11" borderId="13"/>
    <xf numFmtId="0" fontId="52" fillId="0" borderId="0"/>
    <xf numFmtId="0" fontId="53" fillId="5" borderId="0"/>
    <xf numFmtId="0" fontId="53" fillId="6" borderId="0"/>
    <xf numFmtId="0" fontId="52" fillId="7" borderId="0"/>
    <xf numFmtId="0" fontId="53" fillId="9" borderId="0"/>
    <xf numFmtId="0" fontId="55" fillId="0" borderId="0"/>
    <xf numFmtId="0" fontId="57" fillId="0" borderId="0"/>
    <xf numFmtId="0" fontId="60" fillId="0" borderId="0"/>
    <xf numFmtId="0" fontId="63" fillId="0" borderId="0"/>
    <xf numFmtId="0" fontId="51" fillId="0" borderId="0"/>
    <xf numFmtId="0" fontId="51" fillId="0" borderId="0"/>
    <xf numFmtId="0" fontId="54" fillId="0" borderId="0"/>
    <xf numFmtId="164" fontId="5" fillId="0" borderId="0" applyFont="0" applyFill="0" applyBorder="0" applyAlignment="0" applyProtection="0"/>
  </cellStyleXfs>
  <cellXfs count="13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0" borderId="1" xfId="0" applyFont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12" fontId="1" fillId="2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12" fontId="1" fillId="0" borderId="0" xfId="0" applyNumberFormat="1" applyFont="1" applyAlignment="1">
      <alignment horizontal="left" vertical="top"/>
    </xf>
    <xf numFmtId="0" fontId="10" fillId="4" borderId="0" xfId="1" applyFont="1" applyFill="1" applyAlignment="1">
      <alignment horizontal="left" vertical="top"/>
    </xf>
    <xf numFmtId="0" fontId="11" fillId="4" borderId="0" xfId="0" applyFont="1" applyFill="1" applyAlignment="1">
      <alignment horizontal="left" vertical="top"/>
    </xf>
    <xf numFmtId="12" fontId="11" fillId="4" borderId="0" xfId="0" applyNumberFormat="1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12" fontId="1" fillId="2" borderId="3" xfId="0" applyNumberFormat="1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12" fontId="0" fillId="0" borderId="0" xfId="0" applyNumberFormat="1" applyAlignment="1">
      <alignment horizontal="center" vertical="center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12" fontId="1" fillId="0" borderId="0" xfId="0" applyNumberFormat="1" applyFont="1" applyAlignment="1">
      <alignment horizontal="left" vertical="center"/>
    </xf>
    <xf numFmtId="12" fontId="11" fillId="4" borderId="0" xfId="0" applyNumberFormat="1" applyFont="1" applyFill="1" applyAlignment="1">
      <alignment horizontal="left" vertical="center"/>
    </xf>
    <xf numFmtId="0" fontId="15" fillId="0" borderId="0" xfId="0" applyFont="1"/>
    <xf numFmtId="0" fontId="17" fillId="0" borderId="0" xfId="0" applyFont="1"/>
    <xf numFmtId="12" fontId="17" fillId="0" borderId="0" xfId="0" applyNumberFormat="1" applyFont="1"/>
    <xf numFmtId="12" fontId="18" fillId="0" borderId="0" xfId="0" applyNumberFormat="1" applyFont="1"/>
    <xf numFmtId="12" fontId="16" fillId="0" borderId="0" xfId="0" applyNumberFormat="1" applyFont="1"/>
    <xf numFmtId="0" fontId="16" fillId="0" borderId="0" xfId="0" applyFont="1"/>
    <xf numFmtId="0" fontId="19" fillId="0" borderId="0" xfId="0" applyFont="1"/>
    <xf numFmtId="0" fontId="20" fillId="0" borderId="0" xfId="0" applyFont="1"/>
    <xf numFmtId="1" fontId="18" fillId="0" borderId="0" xfId="0" applyNumberFormat="1" applyFont="1"/>
    <xf numFmtId="0" fontId="21" fillId="0" borderId="0" xfId="0" applyFont="1"/>
    <xf numFmtId="3" fontId="15" fillId="0" borderId="0" xfId="0" applyNumberFormat="1" applyFont="1"/>
    <xf numFmtId="12" fontId="22" fillId="0" borderId="0" xfId="0" applyNumberFormat="1" applyFont="1"/>
    <xf numFmtId="0" fontId="1" fillId="0" borderId="6" xfId="0" applyFont="1" applyBorder="1" applyAlignment="1">
      <alignment horizontal="left" vertical="top"/>
    </xf>
    <xf numFmtId="12" fontId="1" fillId="0" borderId="6" xfId="0" applyNumberFormat="1" applyFont="1" applyBorder="1" applyAlignment="1">
      <alignment horizontal="left" vertical="top"/>
    </xf>
    <xf numFmtId="14" fontId="9" fillId="0" borderId="6" xfId="0" applyNumberFormat="1" applyFont="1" applyBorder="1" applyAlignment="1">
      <alignment horizontal="left" vertical="top"/>
    </xf>
    <xf numFmtId="0" fontId="9" fillId="0" borderId="6" xfId="0" applyFont="1" applyBorder="1" applyAlignment="1">
      <alignment horizontal="left" vertical="top"/>
    </xf>
    <xf numFmtId="12" fontId="9" fillId="0" borderId="6" xfId="0" applyNumberFormat="1" applyFont="1" applyBorder="1" applyAlignment="1">
      <alignment horizontal="left" vertical="top"/>
    </xf>
    <xf numFmtId="12" fontId="0" fillId="2" borderId="2" xfId="0" applyNumberFormat="1" applyFill="1" applyBorder="1" applyAlignment="1">
      <alignment horizontal="left" vertical="top"/>
    </xf>
    <xf numFmtId="0" fontId="0" fillId="2" borderId="0" xfId="0" applyFill="1" applyAlignment="1">
      <alignment horizontal="left" vertical="top"/>
    </xf>
    <xf numFmtId="12" fontId="1" fillId="2" borderId="2" xfId="0" applyNumberFormat="1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24" fillId="0" borderId="6" xfId="0" applyFont="1" applyBorder="1" applyAlignment="1">
      <alignment horizontal="left" vertical="top"/>
    </xf>
    <xf numFmtId="12" fontId="0" fillId="0" borderId="2" xfId="0" applyNumberFormat="1" applyBorder="1" applyAlignment="1">
      <alignment horizontal="left" vertical="top"/>
    </xf>
    <xf numFmtId="12" fontId="0" fillId="0" borderId="0" xfId="0" applyNumberFormat="1" applyAlignment="1">
      <alignment horizontal="left" vertical="top"/>
    </xf>
    <xf numFmtId="0" fontId="9" fillId="4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9" fillId="0" borderId="6" xfId="1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2" fontId="8" fillId="0" borderId="0" xfId="4" applyNumberFormat="1" applyFont="1" applyAlignment="1">
      <alignment horizontal="left" vertical="top"/>
    </xf>
    <xf numFmtId="1" fontId="9" fillId="0" borderId="6" xfId="0" applyNumberFormat="1" applyFont="1" applyBorder="1" applyAlignment="1">
      <alignment horizontal="left" vertical="top"/>
    </xf>
    <xf numFmtId="12" fontId="28" fillId="0" borderId="6" xfId="0" applyNumberFormat="1" applyFont="1" applyBorder="1" applyAlignment="1">
      <alignment horizontal="left" vertical="top"/>
    </xf>
    <xf numFmtId="0" fontId="29" fillId="0" borderId="6" xfId="0" applyFont="1" applyBorder="1" applyAlignment="1">
      <alignment horizontal="left" vertical="top"/>
    </xf>
    <xf numFmtId="0" fontId="31" fillId="0" borderId="6" xfId="0" applyFont="1" applyBorder="1" applyAlignment="1">
      <alignment horizontal="left" vertical="top"/>
    </xf>
    <xf numFmtId="0" fontId="12" fillId="4" borderId="6" xfId="0" applyFont="1" applyFill="1" applyBorder="1" applyAlignment="1">
      <alignment horizontal="left" vertical="top"/>
    </xf>
    <xf numFmtId="0" fontId="14" fillId="0" borderId="6" xfId="0" applyFont="1" applyBorder="1" applyAlignment="1">
      <alignment horizontal="left" vertical="top"/>
    </xf>
    <xf numFmtId="0" fontId="12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12" fontId="9" fillId="0" borderId="6" xfId="0" applyNumberFormat="1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24" fillId="0" borderId="6" xfId="0" applyFont="1" applyBorder="1" applyAlignment="1">
      <alignment horizontal="left"/>
    </xf>
    <xf numFmtId="0" fontId="48" fillId="0" borderId="6" xfId="0" applyFont="1" applyBorder="1" applyAlignment="1">
      <alignment horizontal="left"/>
    </xf>
    <xf numFmtId="0" fontId="49" fillId="0" borderId="6" xfId="0" applyFont="1" applyBorder="1" applyAlignment="1">
      <alignment horizontal="left"/>
    </xf>
    <xf numFmtId="12" fontId="1" fillId="2" borderId="1" xfId="56" applyNumberFormat="1" applyFont="1" applyFill="1" applyBorder="1" applyAlignment="1">
      <alignment horizontal="left" vertical="top"/>
    </xf>
    <xf numFmtId="12" fontId="1" fillId="2" borderId="3" xfId="56" applyNumberFormat="1" applyFont="1" applyFill="1" applyBorder="1" applyAlignment="1">
      <alignment horizontal="left" vertical="top"/>
    </xf>
    <xf numFmtId="12" fontId="9" fillId="0" borderId="6" xfId="56" applyNumberFormat="1" applyFont="1" applyBorder="1" applyAlignment="1">
      <alignment horizontal="left" vertical="top"/>
    </xf>
    <xf numFmtId="12" fontId="9" fillId="0" borderId="6" xfId="56" applyNumberFormat="1" applyFont="1" applyBorder="1" applyAlignment="1">
      <alignment horizontal="left"/>
    </xf>
    <xf numFmtId="12" fontId="50" fillId="0" borderId="6" xfId="56" applyNumberFormat="1" applyFont="1" applyBorder="1" applyAlignment="1">
      <alignment horizontal="left"/>
    </xf>
    <xf numFmtId="12" fontId="25" fillId="0" borderId="6" xfId="56" applyNumberFormat="1" applyFont="1" applyBorder="1" applyAlignment="1">
      <alignment horizontal="left" vertical="top"/>
    </xf>
    <xf numFmtId="12" fontId="30" fillId="0" borderId="6" xfId="56" applyNumberFormat="1" applyFont="1" applyBorder="1" applyAlignment="1">
      <alignment horizontal="left" vertical="top"/>
    </xf>
    <xf numFmtId="12" fontId="25" fillId="4" borderId="6" xfId="56" applyNumberFormat="1" applyFont="1" applyFill="1" applyBorder="1" applyAlignment="1">
      <alignment horizontal="left" vertical="top"/>
    </xf>
    <xf numFmtId="12" fontId="13" fillId="4" borderId="6" xfId="56" applyNumberFormat="1" applyFont="1" applyFill="1" applyBorder="1" applyAlignment="1">
      <alignment horizontal="left" vertical="top"/>
    </xf>
    <xf numFmtId="12" fontId="13" fillId="0" borderId="6" xfId="56" applyNumberFormat="1" applyFont="1" applyBorder="1" applyAlignment="1">
      <alignment horizontal="left" vertical="top"/>
    </xf>
    <xf numFmtId="12" fontId="15" fillId="0" borderId="0" xfId="56" applyNumberFormat="1" applyFont="1"/>
    <xf numFmtId="12" fontId="11" fillId="4" borderId="0" xfId="56" applyNumberFormat="1" applyFont="1" applyFill="1" applyAlignment="1">
      <alignment horizontal="left" vertical="top"/>
    </xf>
    <xf numFmtId="12" fontId="1" fillId="0" borderId="0" xfId="56" applyNumberFormat="1" applyFont="1" applyAlignment="1">
      <alignment horizontal="left" vertical="top"/>
    </xf>
    <xf numFmtId="14" fontId="1" fillId="0" borderId="6" xfId="0" applyNumberFormat="1" applyFont="1" applyBorder="1" applyAlignment="1">
      <alignment horizontal="left" vertical="top"/>
    </xf>
    <xf numFmtId="0" fontId="9" fillId="3" borderId="6" xfId="0" applyFont="1" applyFill="1" applyBorder="1" applyAlignment="1">
      <alignment horizontal="left" vertical="top"/>
    </xf>
    <xf numFmtId="14" fontId="9" fillId="4" borderId="6" xfId="0" applyNumberFormat="1" applyFont="1" applyFill="1" applyBorder="1" applyAlignment="1">
      <alignment horizontal="left" vertical="top"/>
    </xf>
    <xf numFmtId="0" fontId="64" fillId="0" borderId="0" xfId="0" applyFont="1"/>
    <xf numFmtId="0" fontId="65" fillId="0" borderId="0" xfId="0" applyFont="1"/>
    <xf numFmtId="0" fontId="66" fillId="0" borderId="0" xfId="0" applyFont="1"/>
    <xf numFmtId="12" fontId="67" fillId="0" borderId="0" xfId="0" applyNumberFormat="1" applyFont="1"/>
    <xf numFmtId="12" fontId="24" fillId="0" borderId="6" xfId="0" applyNumberFormat="1" applyFont="1" applyBorder="1" applyAlignment="1">
      <alignment horizontal="left" vertical="top" wrapText="1"/>
    </xf>
    <xf numFmtId="0" fontId="48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left"/>
    </xf>
    <xf numFmtId="12" fontId="50" fillId="0" borderId="6" xfId="1" applyNumberFormat="1" applyFont="1" applyBorder="1" applyAlignment="1">
      <alignment horizontal="left" vertical="top"/>
    </xf>
    <xf numFmtId="0" fontId="68" fillId="0" borderId="6" xfId="37" applyFont="1" applyBorder="1" applyAlignment="1">
      <alignment horizontal="left" vertical="top"/>
    </xf>
    <xf numFmtId="0" fontId="69" fillId="0" borderId="6" xfId="13" applyFont="1" applyBorder="1" applyAlignment="1">
      <alignment horizontal="left" vertical="top"/>
    </xf>
    <xf numFmtId="0" fontId="25" fillId="0" borderId="6" xfId="1" applyFont="1" applyBorder="1" applyAlignment="1">
      <alignment horizontal="left"/>
    </xf>
    <xf numFmtId="12" fontId="50" fillId="0" borderId="6" xfId="1" applyNumberFormat="1" applyFont="1" applyBorder="1" applyAlignment="1">
      <alignment horizontal="left"/>
    </xf>
    <xf numFmtId="12" fontId="50" fillId="4" borderId="6" xfId="1" applyNumberFormat="1" applyFont="1" applyFill="1" applyBorder="1" applyAlignment="1">
      <alignment horizontal="left" vertical="top"/>
    </xf>
    <xf numFmtId="12" fontId="70" fillId="0" borderId="0" xfId="0" applyNumberFormat="1" applyFont="1"/>
    <xf numFmtId="0" fontId="73" fillId="0" borderId="0" xfId="0" applyFont="1" applyAlignment="1">
      <alignment horizontal="left" vertical="top"/>
    </xf>
    <xf numFmtId="0" fontId="72" fillId="0" borderId="0" xfId="0" applyFont="1" applyAlignment="1">
      <alignment horizontal="left" vertical="top"/>
    </xf>
    <xf numFmtId="0" fontId="74" fillId="0" borderId="0" xfId="0" applyFont="1"/>
    <xf numFmtId="0" fontId="76" fillId="0" borderId="0" xfId="0" applyFont="1"/>
    <xf numFmtId="12" fontId="2" fillId="0" borderId="0" xfId="1" applyNumberFormat="1"/>
    <xf numFmtId="12" fontId="2" fillId="4" borderId="14" xfId="1" applyNumberFormat="1" applyFill="1" applyBorder="1" applyAlignment="1">
      <alignment horizontal="left" vertical="center"/>
    </xf>
    <xf numFmtId="0" fontId="77" fillId="0" borderId="0" xfId="0" applyFont="1" applyAlignment="1">
      <alignment horizontal="left" vertical="top"/>
    </xf>
    <xf numFmtId="0" fontId="79" fillId="0" borderId="6" xfId="0" applyFont="1" applyBorder="1" applyAlignment="1">
      <alignment horizontal="left" vertical="top"/>
    </xf>
    <xf numFmtId="12" fontId="80" fillId="0" borderId="6" xfId="0" applyNumberFormat="1" applyFont="1" applyBorder="1" applyAlignment="1">
      <alignment horizontal="left" vertical="top"/>
    </xf>
    <xf numFmtId="0" fontId="78" fillId="0" borderId="0" xfId="0" applyFont="1" applyAlignment="1">
      <alignment horizontal="left"/>
    </xf>
    <xf numFmtId="12" fontId="73" fillId="0" borderId="0" xfId="0" applyNumberFormat="1" applyFont="1" applyAlignment="1">
      <alignment horizontal="left" vertical="top"/>
    </xf>
    <xf numFmtId="12" fontId="2" fillId="0" borderId="0" xfId="1" applyNumberFormat="1" applyAlignment="1">
      <alignment horizontal="left"/>
    </xf>
    <xf numFmtId="12" fontId="74" fillId="0" borderId="0" xfId="0" applyNumberFormat="1" applyFont="1" applyAlignment="1">
      <alignment horizontal="left"/>
    </xf>
    <xf numFmtId="0" fontId="75" fillId="0" borderId="0" xfId="0" applyFont="1" applyAlignment="1">
      <alignment horizontal="left"/>
    </xf>
    <xf numFmtId="12" fontId="11" fillId="0" borderId="6" xfId="0" applyNumberFormat="1" applyFont="1" applyBorder="1" applyAlignment="1">
      <alignment horizontal="left"/>
    </xf>
    <xf numFmtId="0" fontId="81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12" fontId="2" fillId="0" borderId="0" xfId="1" applyNumberFormat="1" applyAlignment="1">
      <alignment horizontal="left" wrapText="1"/>
    </xf>
    <xf numFmtId="12" fontId="70" fillId="0" borderId="0" xfId="0" applyNumberFormat="1" applyFont="1" applyAlignment="1">
      <alignment horizontal="left"/>
    </xf>
    <xf numFmtId="0" fontId="71" fillId="0" borderId="0" xfId="0" applyFont="1" applyAlignment="1">
      <alignment horizontal="left"/>
    </xf>
    <xf numFmtId="12" fontId="29" fillId="0" borderId="6" xfId="0" applyNumberFormat="1" applyFont="1" applyBorder="1" applyAlignment="1">
      <alignment horizontal="left" vertical="top"/>
    </xf>
    <xf numFmtId="0" fontId="82" fillId="0" borderId="0" xfId="0" applyFont="1"/>
    <xf numFmtId="0" fontId="83" fillId="0" borderId="0" xfId="0" applyFont="1"/>
    <xf numFmtId="12" fontId="76" fillId="0" borderId="0" xfId="0" applyNumberFormat="1" applyFont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left"/>
    </xf>
    <xf numFmtId="12" fontId="87" fillId="0" borderId="6" xfId="0" applyNumberFormat="1" applyFont="1" applyBorder="1"/>
    <xf numFmtId="0" fontId="86" fillId="0" borderId="6" xfId="0" applyFont="1" applyBorder="1"/>
    <xf numFmtId="12" fontId="89" fillId="0" borderId="0" xfId="0" applyNumberFormat="1" applyFont="1"/>
    <xf numFmtId="0" fontId="88" fillId="0" borderId="6" xfId="1" applyFont="1" applyBorder="1"/>
    <xf numFmtId="3" fontId="86" fillId="0" borderId="6" xfId="0" applyNumberFormat="1" applyFont="1" applyBorder="1"/>
    <xf numFmtId="0" fontId="84" fillId="0" borderId="6" xfId="0" applyFont="1" applyBorder="1"/>
    <xf numFmtId="0" fontId="92" fillId="4" borderId="14" xfId="0" applyFont="1" applyFill="1" applyBorder="1" applyAlignment="1">
      <alignment horizontal="left" vertical="center"/>
    </xf>
    <xf numFmtId="0" fontId="92" fillId="0" borderId="0" xfId="0" applyFont="1"/>
    <xf numFmtId="0" fontId="85" fillId="0" borderId="0" xfId="0" applyFont="1" applyAlignment="1">
      <alignment horizontal="left" vertical="top"/>
    </xf>
    <xf numFmtId="0" fontId="93" fillId="0" borderId="0" xfId="0" applyFont="1"/>
    <xf numFmtId="0" fontId="94" fillId="0" borderId="0" xfId="0" applyFont="1"/>
    <xf numFmtId="0" fontId="95" fillId="0" borderId="6" xfId="0" applyFont="1" applyBorder="1"/>
  </cellXfs>
  <cellStyles count="57">
    <cellStyle name="Accent" xfId="23" xr:uid="{D8D41CF1-4EB4-4CD1-A497-045BF8272563}"/>
    <cellStyle name="Accent 1" xfId="24" xr:uid="{DAE7E731-363E-4BFE-BF1A-8EB1E7C8B951}"/>
    <cellStyle name="Accent 1 2" xfId="45" xr:uid="{B4C11D18-0EFA-4354-907B-A697BA960FA1}"/>
    <cellStyle name="Accent 2" xfId="25" xr:uid="{C40743AE-C556-42B0-AD0A-87996ED4AC9B}"/>
    <cellStyle name="Accent 2 2" xfId="46" xr:uid="{6F4E19BD-BDBB-4808-B28F-24640B29CD29}"/>
    <cellStyle name="Accent 3" xfId="26" xr:uid="{42A9EA37-BC81-4156-9F87-04CA06044D34}"/>
    <cellStyle name="Accent 3 2" xfId="47" xr:uid="{AA8F8947-1128-4238-BEFA-F25ADC3021DB}"/>
    <cellStyle name="Accent 4" xfId="44" xr:uid="{7903E809-100C-4014-B853-F1EA163EF49D}"/>
    <cellStyle name="Bad 2" xfId="20" xr:uid="{B911E01F-6BA6-45AC-BC1E-2EE8BFD86F13}"/>
    <cellStyle name="Bad 3" xfId="41" xr:uid="{EDF3CED4-5473-4AC4-8DAE-6769915CF922}"/>
    <cellStyle name="Currency" xfId="56" builtinId="4"/>
    <cellStyle name="Error" xfId="27" xr:uid="{35E6A65C-F865-4F54-B677-BC38E6021EC7}"/>
    <cellStyle name="Error 2" xfId="48" xr:uid="{3A20650B-A903-4330-AA85-733D6781F16D}"/>
    <cellStyle name="Excel Built-in Heading 1" xfId="14" xr:uid="{FB88C685-019B-4FF7-A0D1-3E9EDCABE2A5}"/>
    <cellStyle name="Excel Built-in Heading 1 2" xfId="28" xr:uid="{89E234B3-CDC2-4707-8022-DCC9DD5C7FFC}"/>
    <cellStyle name="Excel Built-in Heading 2" xfId="15" xr:uid="{3359233F-CAF7-4CB2-961B-610E004968C7}"/>
    <cellStyle name="Excel Built-in Heading 2 2" xfId="29" xr:uid="{4BABC036-990C-49AB-8F04-42928C33B7EE}"/>
    <cellStyle name="Footnote" xfId="30" xr:uid="{B643DBDB-0070-407D-B9B3-CDE5486054D3}"/>
    <cellStyle name="Footnote 2" xfId="49" xr:uid="{240837E0-7343-48D5-BF8C-16B86C324787}"/>
    <cellStyle name="Good 2" xfId="19" xr:uid="{E20C54D2-A94D-4ADE-967D-94BD97A3A2F8}"/>
    <cellStyle name="Good 3" xfId="40" xr:uid="{23E115AC-6162-476C-B350-C2481FEC8BCB}"/>
    <cellStyle name="Heading" xfId="31" xr:uid="{1C9AD290-A391-467D-B062-4F87C8590BBB}"/>
    <cellStyle name="Heading 1 2" xfId="11" xr:uid="{4C27B653-985C-4A73-975B-1F0B9A09AFAB}"/>
    <cellStyle name="Heading 1 3" xfId="17" xr:uid="{F27C9D00-A10A-49D8-8E08-F77154B523FC}"/>
    <cellStyle name="Heading 1 4" xfId="38" xr:uid="{10EE7076-B1A8-444A-B435-4AD6D23E1C2D}"/>
    <cellStyle name="Heading 2 2" xfId="12" xr:uid="{C6715428-11FE-45BD-B85C-CC6ACCE803B9}"/>
    <cellStyle name="Heading 2 3" xfId="18" xr:uid="{FC8F1309-93D8-4673-B8C3-19C388C5FCD6}"/>
    <cellStyle name="Heading 2 4" xfId="39" xr:uid="{15229EA2-6A17-481A-A9CA-2CECB5D77EA4}"/>
    <cellStyle name="Heading 5" xfId="50" xr:uid="{29BEAF31-9420-4EF3-9DC2-15A4CEEF7C9E}"/>
    <cellStyle name="Hyperlink" xfId="1" builtinId="8"/>
    <cellStyle name="Hyperlink 2" xfId="32" xr:uid="{C6504450-B6C6-45E8-A47C-1E60C6051A71}"/>
    <cellStyle name="Hyperlink 3" xfId="51" xr:uid="{9B89A6A8-D2BE-42AB-B835-3ACB4D564D11}"/>
    <cellStyle name="Neutral 2" xfId="21" xr:uid="{307BBDC6-0C30-4844-8212-F77EB4FF20E4}"/>
    <cellStyle name="Neutral 3" xfId="42" xr:uid="{C888D1C9-0666-4389-82BE-7C82551ABA53}"/>
    <cellStyle name="Normal" xfId="0" builtinId="0"/>
    <cellStyle name="Normal 2" xfId="2" xr:uid="{A9F09928-68A9-4FAA-813A-E7A806EC0D2D}"/>
    <cellStyle name="Normal 2 2" xfId="8" xr:uid="{973CB4AE-0933-439D-AA98-677EF9F3C50C}"/>
    <cellStyle name="Normal 2 3" xfId="5" xr:uid="{E3E30D6B-BFEF-4E19-BDB5-9F40AF28798F}"/>
    <cellStyle name="Normal 3" xfId="3" xr:uid="{238DEE56-AA8A-4505-93CF-A93BBC7D287D}"/>
    <cellStyle name="Normal 3 2" xfId="9" xr:uid="{B3A81F99-F263-4FD7-8958-8CE4BA290F36}"/>
    <cellStyle name="Normal 3 3" xfId="6" xr:uid="{1C607B2F-CE0E-4454-A8A1-82674BA8402B}"/>
    <cellStyle name="Normal 4" xfId="4" xr:uid="{031A760F-E274-4FE3-8220-833115F7E1EE}"/>
    <cellStyle name="Normal 4 2" xfId="7" xr:uid="{780062ED-999E-4053-85F0-CE090942E97B}"/>
    <cellStyle name="Normal 5" xfId="10" xr:uid="{D782D0BF-A0F1-45A6-9163-E48AB18D258A}"/>
    <cellStyle name="Normal 6" xfId="13" xr:uid="{B1B59129-3209-411C-A45C-997ED72E0DB0}"/>
    <cellStyle name="Normal 7" xfId="16" xr:uid="{CE778BD2-47A4-44AF-917D-9CE5809410CB}"/>
    <cellStyle name="Normal 8" xfId="37" xr:uid="{6BB0F8F5-CF1D-4445-9981-2D057A812908}"/>
    <cellStyle name="Note 2" xfId="22" xr:uid="{2449AD7E-3769-4C2A-BC40-4E8EF43E5124}"/>
    <cellStyle name="Note 3" xfId="43" xr:uid="{248DF7C5-7D54-4085-965F-A65EE55BE5AA}"/>
    <cellStyle name="Result" xfId="33" xr:uid="{A87C1383-3531-434D-B932-36277B4934C0}"/>
    <cellStyle name="Result 2" xfId="52" xr:uid="{56ECB886-FB7F-4917-8846-3510D709E4D3}"/>
    <cellStyle name="Status" xfId="34" xr:uid="{60B5BF80-6EA5-474C-9E59-46F800D17B7A}"/>
    <cellStyle name="Status 2" xfId="53" xr:uid="{C9EEC942-BFCB-42FE-9D74-2FA60CFD1EFA}"/>
    <cellStyle name="Text" xfId="35" xr:uid="{A4D62C18-5FC4-4CD4-B3F4-A5DFEC7FCF8D}"/>
    <cellStyle name="Text 2" xfId="54" xr:uid="{51CFA08F-325F-4C86-BAEA-52ADE209BC8C}"/>
    <cellStyle name="Warning" xfId="36" xr:uid="{B4D2BEBE-E641-4E41-A885-C5C021173387}"/>
    <cellStyle name="Warning 2" xfId="55" xr:uid="{0ABC20B0-B69B-497C-BB9A-ADA591753C87}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BC72D-1E7A-45D8-B04D-18D30D0F75AD}">
  <sheetPr codeName="Sheet1"/>
  <dimension ref="A1:W94"/>
  <sheetViews>
    <sheetView tabSelected="1" topLeftCell="A2" zoomScale="81" zoomScaleNormal="90" workbookViewId="0">
      <selection activeCell="J33" sqref="J33"/>
    </sheetView>
  </sheetViews>
  <sheetFormatPr defaultRowHeight="14.4"/>
  <cols>
    <col min="1" max="1" width="8.88671875" style="4"/>
    <col min="2" max="2" width="8.88671875" style="8"/>
    <col min="3" max="3" width="11.88671875" style="8" bestFit="1" customWidth="1"/>
    <col min="4" max="4" width="20.109375" style="8" customWidth="1"/>
    <col min="5" max="5" width="15.88671875" style="8" customWidth="1"/>
    <col min="6" max="6" width="13.33203125" style="8" customWidth="1"/>
    <col min="7" max="7" width="17.6640625" style="8" customWidth="1"/>
    <col min="8" max="8" width="14.6640625" style="8" customWidth="1"/>
    <col min="9" max="9" width="16.44140625" style="8" customWidth="1"/>
    <col min="10" max="10" width="19.33203125" style="20" customWidth="1"/>
    <col min="11" max="11" width="21.21875" style="76" bestFit="1" customWidth="1"/>
    <col min="12" max="12" width="12.44140625" style="8" customWidth="1"/>
    <col min="13" max="13" width="19" style="9" customWidth="1"/>
    <col min="14" max="14" width="10" style="8" customWidth="1"/>
    <col min="15" max="15" width="15.33203125" style="8" customWidth="1"/>
    <col min="16" max="17" width="12" style="8" customWidth="1"/>
    <col min="18" max="18" width="8.88671875" style="8"/>
    <col min="19" max="19" width="10.88671875" style="8" customWidth="1"/>
    <col min="20" max="20" width="24" style="8" bestFit="1" customWidth="1"/>
    <col min="21" max="21" width="18.5546875" style="8" customWidth="1"/>
    <col min="22" max="22" width="17.5546875" style="17" customWidth="1"/>
  </cols>
  <sheetData>
    <row r="1" spans="1:23">
      <c r="L1" s="8" cm="1">
        <f t="array" aca="1" ref="L1" ca="1">L:L</f>
        <v>0</v>
      </c>
    </row>
    <row r="2" spans="1:23" s="1" customFormat="1" ht="9" customHeight="1">
      <c r="A2" s="3"/>
      <c r="B2" s="6" t="s">
        <v>0</v>
      </c>
      <c r="C2" s="6">
        <v>1244</v>
      </c>
      <c r="D2" s="6"/>
      <c r="F2" s="6" t="s">
        <v>1</v>
      </c>
      <c r="G2" s="6"/>
      <c r="H2" s="6"/>
      <c r="I2" s="6"/>
      <c r="J2" s="7"/>
      <c r="K2" s="64"/>
      <c r="L2" s="6"/>
      <c r="M2" s="7"/>
      <c r="N2" s="6"/>
      <c r="O2" s="6"/>
      <c r="P2" s="6"/>
      <c r="Q2" s="6"/>
      <c r="R2" s="6"/>
      <c r="S2" s="6"/>
      <c r="T2" s="6"/>
      <c r="U2" s="18"/>
      <c r="V2" s="39"/>
      <c r="W2" s="40"/>
    </row>
    <row r="3" spans="1:23" s="2" customFormat="1" ht="11.1" customHeight="1">
      <c r="A3" s="3"/>
      <c r="B3" s="6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5" t="s">
        <v>17</v>
      </c>
      <c r="K3" s="65" t="s">
        <v>10</v>
      </c>
      <c r="L3" s="14" t="s">
        <v>9</v>
      </c>
      <c r="M3" s="15" t="s">
        <v>11</v>
      </c>
      <c r="N3" s="14" t="s">
        <v>9</v>
      </c>
      <c r="O3" s="14" t="s">
        <v>12</v>
      </c>
      <c r="P3" s="14" t="s">
        <v>9</v>
      </c>
      <c r="Q3" s="14" t="s">
        <v>13</v>
      </c>
      <c r="R3" s="14" t="s">
        <v>14</v>
      </c>
      <c r="S3" s="14" t="s">
        <v>15</v>
      </c>
      <c r="T3" s="14" t="s">
        <v>16</v>
      </c>
      <c r="U3" s="19"/>
      <c r="V3" s="41"/>
      <c r="W3" s="42"/>
    </row>
    <row r="4" spans="1:23" ht="12.9" customHeight="1">
      <c r="B4" s="5">
        <v>1</v>
      </c>
      <c r="C4" s="36">
        <f ca="1">TODAY()</f>
        <v>46090</v>
      </c>
      <c r="D4" s="8" t="s">
        <v>31</v>
      </c>
      <c r="E4" s="8" t="s">
        <v>24</v>
      </c>
      <c r="F4" s="8">
        <v>24100</v>
      </c>
      <c r="G4" s="100" t="s">
        <v>20</v>
      </c>
      <c r="I4" s="100" t="s">
        <v>18</v>
      </c>
      <c r="J4" s="110">
        <v>9876567876</v>
      </c>
      <c r="K4" s="76">
        <v>101074383091</v>
      </c>
      <c r="L4" s="9"/>
      <c r="O4" s="38"/>
      <c r="P4" s="38"/>
      <c r="Q4" s="38"/>
      <c r="R4" s="38"/>
      <c r="S4" s="100" t="s">
        <v>18</v>
      </c>
      <c r="T4" s="38" t="s">
        <v>22</v>
      </c>
      <c r="U4" s="38"/>
      <c r="V4" s="45"/>
      <c r="W4" s="45"/>
    </row>
    <row r="5" spans="1:23" ht="12.9" customHeight="1">
      <c r="B5" s="5">
        <v>2</v>
      </c>
      <c r="C5" s="36">
        <f t="shared" ref="C5:C48" ca="1" si="0">TODAY()</f>
        <v>46090</v>
      </c>
      <c r="D5" s="8" t="s">
        <v>32</v>
      </c>
      <c r="E5" s="8" t="s">
        <v>35</v>
      </c>
      <c r="F5" s="8">
        <v>17000</v>
      </c>
      <c r="G5" s="100" t="s">
        <v>20</v>
      </c>
      <c r="I5" s="100" t="s">
        <v>18</v>
      </c>
      <c r="J5" s="110">
        <v>8976554456</v>
      </c>
      <c r="K5" s="76">
        <v>101074372648</v>
      </c>
      <c r="L5" s="9"/>
      <c r="O5" s="38"/>
      <c r="P5" s="38"/>
      <c r="R5" s="38"/>
      <c r="S5" s="100" t="s">
        <v>18</v>
      </c>
      <c r="T5" s="38" t="s">
        <v>22</v>
      </c>
      <c r="U5" s="38"/>
      <c r="V5" s="45"/>
      <c r="W5" s="47"/>
    </row>
    <row r="6" spans="1:23" ht="12.9" customHeight="1">
      <c r="B6" s="5">
        <v>3</v>
      </c>
      <c r="C6" s="36">
        <f t="shared" ca="1" si="0"/>
        <v>46090</v>
      </c>
      <c r="D6" s="8" t="s">
        <v>33</v>
      </c>
      <c r="E6" s="8" t="s">
        <v>21</v>
      </c>
      <c r="F6" s="8">
        <v>15000</v>
      </c>
      <c r="G6" s="100" t="s">
        <v>20</v>
      </c>
      <c r="I6" s="100" t="s">
        <v>18</v>
      </c>
      <c r="J6" s="20">
        <v>9827172186</v>
      </c>
      <c r="K6" s="76">
        <v>101074357541</v>
      </c>
      <c r="L6" s="9"/>
      <c r="O6" s="38"/>
      <c r="P6" s="38"/>
      <c r="R6" s="38"/>
      <c r="S6" s="100" t="s">
        <v>18</v>
      </c>
      <c r="T6" s="38" t="s">
        <v>22</v>
      </c>
      <c r="U6" s="38"/>
      <c r="V6" s="45"/>
      <c r="W6" s="47"/>
    </row>
    <row r="7" spans="1:23">
      <c r="B7" s="5">
        <v>4</v>
      </c>
      <c r="C7" s="36">
        <f t="shared" ca="1" si="0"/>
        <v>46090</v>
      </c>
      <c r="D7" s="116" t="s">
        <v>28</v>
      </c>
      <c r="E7" s="8" t="s">
        <v>23</v>
      </c>
      <c r="F7" s="8">
        <v>24999</v>
      </c>
      <c r="G7" s="100" t="s">
        <v>20</v>
      </c>
      <c r="I7" s="100" t="s">
        <v>18</v>
      </c>
      <c r="J7" s="117">
        <v>9863546652</v>
      </c>
      <c r="K7" s="76">
        <v>101074357922</v>
      </c>
      <c r="L7" s="9"/>
      <c r="O7" s="38"/>
      <c r="P7" s="38"/>
      <c r="R7" s="38"/>
      <c r="S7" s="100" t="s">
        <v>18</v>
      </c>
      <c r="T7" s="38" t="s">
        <v>22</v>
      </c>
      <c r="U7" s="38"/>
      <c r="V7" s="45"/>
      <c r="W7" s="47"/>
    </row>
    <row r="8" spans="1:23" ht="14.4" customHeight="1">
      <c r="B8" s="5">
        <v>5</v>
      </c>
      <c r="C8" s="36">
        <f t="shared" ca="1" si="0"/>
        <v>46090</v>
      </c>
      <c r="D8" s="115" t="s">
        <v>34</v>
      </c>
      <c r="E8" s="8" t="s">
        <v>19</v>
      </c>
      <c r="F8" s="8">
        <v>53000</v>
      </c>
      <c r="G8" s="100" t="s">
        <v>48</v>
      </c>
      <c r="I8" s="100" t="s">
        <v>18</v>
      </c>
      <c r="J8" s="9">
        <v>8712917276</v>
      </c>
      <c r="K8" s="76">
        <v>101074345676</v>
      </c>
      <c r="L8" s="9"/>
      <c r="O8" s="38"/>
      <c r="P8" s="38"/>
      <c r="R8" s="38"/>
      <c r="S8" s="100" t="s">
        <v>18</v>
      </c>
      <c r="T8" s="38" t="s">
        <v>22</v>
      </c>
      <c r="U8" s="38"/>
      <c r="V8" s="45"/>
      <c r="W8" s="47"/>
    </row>
    <row r="9" spans="1:23" ht="16.8" customHeight="1">
      <c r="B9" s="5">
        <v>6</v>
      </c>
      <c r="C9" s="36">
        <f t="shared" ca="1" si="0"/>
        <v>46090</v>
      </c>
      <c r="D9" s="8" t="s">
        <v>36</v>
      </c>
      <c r="E9" s="8" t="s">
        <v>19</v>
      </c>
      <c r="F9" s="8">
        <v>53000</v>
      </c>
      <c r="G9" s="100" t="s">
        <v>41</v>
      </c>
      <c r="I9" s="100"/>
      <c r="J9" s="9">
        <v>9866714906</v>
      </c>
      <c r="L9" s="9"/>
      <c r="O9" s="8">
        <v>10477925</v>
      </c>
      <c r="P9" s="38" t="s">
        <v>18</v>
      </c>
      <c r="R9" s="38"/>
      <c r="S9" s="100" t="s">
        <v>18</v>
      </c>
      <c r="T9" s="38" t="s">
        <v>43</v>
      </c>
      <c r="U9" s="38"/>
      <c r="V9" s="45"/>
      <c r="W9" s="47"/>
    </row>
    <row r="10" spans="1:23">
      <c r="B10" s="5">
        <v>7</v>
      </c>
      <c r="C10" s="36">
        <f t="shared" ca="1" si="0"/>
        <v>46090</v>
      </c>
      <c r="D10" s="8" t="s">
        <v>37</v>
      </c>
      <c r="E10" s="8" t="s">
        <v>19</v>
      </c>
      <c r="F10" s="8">
        <v>53000</v>
      </c>
      <c r="G10" s="100" t="s">
        <v>41</v>
      </c>
      <c r="I10" s="100"/>
      <c r="J10" s="9">
        <v>8790068206</v>
      </c>
      <c r="L10" s="9"/>
      <c r="O10" s="8">
        <v>10478060</v>
      </c>
      <c r="P10" s="38" t="s">
        <v>18</v>
      </c>
      <c r="R10" s="38"/>
      <c r="S10" s="100" t="s">
        <v>18</v>
      </c>
      <c r="T10" s="38" t="s">
        <v>42</v>
      </c>
      <c r="U10" s="38"/>
      <c r="V10" s="45"/>
      <c r="W10" s="47"/>
    </row>
    <row r="11" spans="1:23">
      <c r="B11" s="5">
        <v>8</v>
      </c>
      <c r="C11" s="36">
        <f ca="1">TODAY()</f>
        <v>46090</v>
      </c>
      <c r="D11" s="8" t="s">
        <v>38</v>
      </c>
      <c r="E11" s="8" t="s">
        <v>25</v>
      </c>
      <c r="F11" s="8">
        <v>22000</v>
      </c>
      <c r="G11" s="100" t="s">
        <v>41</v>
      </c>
      <c r="I11" s="100"/>
      <c r="J11" s="9">
        <v>7816082618</v>
      </c>
      <c r="L11" s="9"/>
      <c r="M11" s="76"/>
      <c r="N11" s="9"/>
      <c r="O11" s="8">
        <v>10478380</v>
      </c>
      <c r="P11" s="38" t="s">
        <v>18</v>
      </c>
      <c r="R11" s="38"/>
      <c r="S11" s="100" t="s">
        <v>18</v>
      </c>
      <c r="T11" s="38" t="s">
        <v>44</v>
      </c>
      <c r="U11" s="38"/>
      <c r="V11" s="45"/>
      <c r="W11" s="47"/>
    </row>
    <row r="12" spans="1:23">
      <c r="B12" s="5">
        <v>10</v>
      </c>
      <c r="C12" s="36">
        <f t="shared" ca="1" si="0"/>
        <v>46090</v>
      </c>
      <c r="D12" s="8" t="s">
        <v>33</v>
      </c>
      <c r="E12" s="8" t="s">
        <v>30</v>
      </c>
      <c r="F12" s="8">
        <v>145000</v>
      </c>
      <c r="G12" s="100" t="s">
        <v>41</v>
      </c>
      <c r="I12" s="100"/>
      <c r="J12" s="9">
        <v>9912175370</v>
      </c>
      <c r="L12" s="9"/>
      <c r="M12" s="76"/>
      <c r="N12" s="9"/>
      <c r="O12" s="8">
        <v>10478468</v>
      </c>
      <c r="P12" s="38" t="s">
        <v>18</v>
      </c>
      <c r="R12" s="38"/>
      <c r="S12" s="100" t="s">
        <v>18</v>
      </c>
      <c r="T12" s="38" t="s">
        <v>45</v>
      </c>
      <c r="U12" s="38"/>
      <c r="V12" s="45"/>
      <c r="W12" s="16"/>
    </row>
    <row r="13" spans="1:23" ht="17.399999999999999" customHeight="1">
      <c r="B13" s="5">
        <v>11</v>
      </c>
      <c r="C13" s="36">
        <f t="shared" ca="1" si="0"/>
        <v>46090</v>
      </c>
      <c r="D13" s="8" t="s">
        <v>39</v>
      </c>
      <c r="E13" s="8" t="s">
        <v>25</v>
      </c>
      <c r="F13" s="8">
        <v>22000</v>
      </c>
      <c r="G13" s="100" t="s">
        <v>41</v>
      </c>
      <c r="I13" s="100"/>
      <c r="J13" s="9">
        <v>9700184052</v>
      </c>
      <c r="L13" s="9"/>
      <c r="M13" s="76"/>
      <c r="N13" s="9"/>
      <c r="O13" s="8">
        <v>10478815</v>
      </c>
      <c r="P13" s="38" t="s">
        <v>18</v>
      </c>
      <c r="R13" s="38"/>
      <c r="S13" s="100" t="s">
        <v>18</v>
      </c>
      <c r="T13" s="38" t="s">
        <v>46</v>
      </c>
      <c r="U13" s="38"/>
      <c r="V13" s="45"/>
      <c r="W13" s="47"/>
    </row>
    <row r="14" spans="1:23">
      <c r="B14" s="5">
        <v>12</v>
      </c>
      <c r="C14" s="36">
        <f t="shared" ca="1" si="0"/>
        <v>46090</v>
      </c>
      <c r="D14" s="8" t="s">
        <v>40</v>
      </c>
      <c r="E14" s="8" t="s">
        <v>24</v>
      </c>
      <c r="F14" s="8">
        <v>32999</v>
      </c>
      <c r="G14" s="100" t="s">
        <v>41</v>
      </c>
      <c r="I14" s="100"/>
      <c r="J14" s="8">
        <v>9395320175</v>
      </c>
      <c r="L14" s="9"/>
      <c r="M14" s="76"/>
      <c r="N14" s="9"/>
      <c r="O14" s="8">
        <v>10478741</v>
      </c>
      <c r="P14" s="38" t="s">
        <v>18</v>
      </c>
      <c r="R14" s="38"/>
      <c r="S14" s="100" t="s">
        <v>18</v>
      </c>
      <c r="T14" s="38" t="s">
        <v>47</v>
      </c>
      <c r="U14" s="38"/>
      <c r="V14" s="45"/>
      <c r="W14" s="47"/>
    </row>
    <row r="15" spans="1:23">
      <c r="B15" s="5">
        <v>13</v>
      </c>
      <c r="C15" s="36">
        <f t="shared" ca="1" si="0"/>
        <v>46090</v>
      </c>
      <c r="D15" s="8" t="s">
        <v>49</v>
      </c>
      <c r="E15" s="8" t="s">
        <v>50</v>
      </c>
      <c r="F15" s="8">
        <v>24600</v>
      </c>
      <c r="G15" s="100" t="s">
        <v>41</v>
      </c>
      <c r="I15" s="100"/>
      <c r="J15" s="8">
        <v>8522954042</v>
      </c>
      <c r="L15" s="9"/>
      <c r="M15" s="76"/>
      <c r="N15" s="9"/>
      <c r="O15" s="8">
        <v>10479060</v>
      </c>
      <c r="P15" s="38" t="s">
        <v>27</v>
      </c>
      <c r="R15" s="38"/>
      <c r="S15" s="100" t="s">
        <v>27</v>
      </c>
      <c r="T15" s="38"/>
      <c r="U15" s="38" t="s">
        <v>51</v>
      </c>
      <c r="V15" s="45"/>
      <c r="W15" s="47"/>
    </row>
    <row r="16" spans="1:23">
      <c r="B16" s="5">
        <v>14</v>
      </c>
      <c r="C16" s="36">
        <f t="shared" ca="1" si="0"/>
        <v>46090</v>
      </c>
      <c r="D16" s="8" t="s">
        <v>52</v>
      </c>
      <c r="E16" s="8" t="s">
        <v>53</v>
      </c>
      <c r="F16" s="8">
        <v>34000</v>
      </c>
      <c r="G16" s="100" t="s">
        <v>54</v>
      </c>
      <c r="I16" s="100"/>
      <c r="J16" s="8"/>
      <c r="L16" s="9"/>
      <c r="M16" s="76">
        <v>62950025796</v>
      </c>
      <c r="N16" s="9" t="s">
        <v>27</v>
      </c>
      <c r="P16" s="38"/>
      <c r="R16" s="38"/>
      <c r="S16" s="100" t="s">
        <v>27</v>
      </c>
      <c r="T16" s="38"/>
      <c r="U16" s="38" t="s">
        <v>55</v>
      </c>
      <c r="V16" s="45"/>
      <c r="W16" s="47"/>
    </row>
    <row r="17" spans="2:23" ht="18" customHeight="1">
      <c r="B17" s="5">
        <v>16</v>
      </c>
      <c r="C17" s="36">
        <f t="shared" ca="1" si="0"/>
        <v>46090</v>
      </c>
      <c r="D17" s="8" t="s">
        <v>56</v>
      </c>
      <c r="E17" s="8" t="s">
        <v>57</v>
      </c>
      <c r="F17" s="8">
        <v>24000</v>
      </c>
      <c r="G17" s="100" t="s">
        <v>29</v>
      </c>
      <c r="I17" s="100" t="s">
        <v>26</v>
      </c>
      <c r="J17" s="38">
        <v>9829271279</v>
      </c>
      <c r="K17" s="76">
        <v>101074384683</v>
      </c>
      <c r="L17" s="9"/>
      <c r="M17" s="76"/>
      <c r="N17" s="9"/>
      <c r="O17" s="76"/>
      <c r="P17" s="38"/>
      <c r="Q17" s="84"/>
      <c r="R17" s="38"/>
      <c r="S17" s="100" t="s">
        <v>26</v>
      </c>
      <c r="T17" s="38" t="s">
        <v>22</v>
      </c>
      <c r="U17" s="38"/>
      <c r="V17" s="45"/>
      <c r="W17" s="47"/>
    </row>
    <row r="18" spans="2:23" ht="15" customHeight="1">
      <c r="B18" s="5">
        <v>17</v>
      </c>
      <c r="C18" s="36">
        <f t="shared" ca="1" si="0"/>
        <v>46090</v>
      </c>
      <c r="D18" s="8" t="s">
        <v>58</v>
      </c>
      <c r="E18" s="8" t="s">
        <v>21</v>
      </c>
      <c r="F18" s="8">
        <v>20700</v>
      </c>
      <c r="G18" s="100" t="s">
        <v>29</v>
      </c>
      <c r="I18" s="100" t="s">
        <v>27</v>
      </c>
      <c r="J18" s="38">
        <v>9821271217</v>
      </c>
      <c r="K18" s="76">
        <v>101074387208</v>
      </c>
      <c r="L18" s="9"/>
      <c r="M18" s="76"/>
      <c r="N18" s="9"/>
      <c r="O18" s="76"/>
      <c r="P18" s="38"/>
      <c r="Q18" s="84"/>
      <c r="R18" s="38"/>
      <c r="S18" s="100" t="s">
        <v>27</v>
      </c>
      <c r="T18" s="38"/>
      <c r="U18" s="38" t="s">
        <v>59</v>
      </c>
      <c r="V18" s="45"/>
      <c r="W18" s="47"/>
    </row>
    <row r="19" spans="2:23" ht="18">
      <c r="B19" s="5">
        <v>18</v>
      </c>
      <c r="C19" s="36">
        <f t="shared" ca="1" si="0"/>
        <v>46090</v>
      </c>
      <c r="D19" s="129" t="s">
        <v>60</v>
      </c>
      <c r="E19" s="120" t="s">
        <v>25</v>
      </c>
      <c r="F19" s="121">
        <v>23000</v>
      </c>
      <c r="G19" s="100" t="s">
        <v>29</v>
      </c>
      <c r="H19" s="101"/>
      <c r="I19" s="100" t="s">
        <v>26</v>
      </c>
      <c r="J19" s="118">
        <v>9279719277</v>
      </c>
      <c r="K19" s="122">
        <v>101074371495</v>
      </c>
      <c r="L19" s="123"/>
      <c r="M19" s="76"/>
      <c r="N19" s="9"/>
      <c r="O19" s="76"/>
      <c r="P19" s="38"/>
      <c r="Q19" s="84"/>
      <c r="R19" s="38"/>
      <c r="S19" s="100" t="s">
        <v>18</v>
      </c>
      <c r="T19" s="38" t="s">
        <v>22</v>
      </c>
      <c r="U19" s="125"/>
      <c r="V19" s="45"/>
      <c r="W19" s="47"/>
    </row>
    <row r="20" spans="2:23" ht="18">
      <c r="B20" s="5">
        <v>19</v>
      </c>
      <c r="C20" s="36">
        <f t="shared" ca="1" si="0"/>
        <v>46090</v>
      </c>
      <c r="D20" s="130"/>
      <c r="E20" s="120"/>
      <c r="F20" s="121"/>
      <c r="G20" s="131"/>
      <c r="H20" s="101"/>
      <c r="I20" s="100"/>
      <c r="J20" s="118"/>
      <c r="K20" s="122"/>
      <c r="L20" s="124"/>
      <c r="M20" s="76"/>
      <c r="N20" s="104"/>
      <c r="O20" s="76"/>
      <c r="P20"/>
      <c r="Q20" s="84"/>
      <c r="R20" s="38"/>
      <c r="S20" s="100"/>
      <c r="T20" s="38"/>
      <c r="U20" s="38"/>
      <c r="V20" s="45"/>
      <c r="W20" s="47"/>
    </row>
    <row r="21" spans="2:23" ht="18">
      <c r="B21" s="5">
        <v>20</v>
      </c>
      <c r="C21" s="36">
        <f t="shared" ca="1" si="0"/>
        <v>46090</v>
      </c>
      <c r="D21" s="130"/>
      <c r="E21" s="120"/>
      <c r="F21" s="121"/>
      <c r="G21" s="131"/>
      <c r="H21" s="101"/>
      <c r="I21" s="100"/>
      <c r="J21" s="119"/>
      <c r="K21" s="122"/>
      <c r="L21" s="124"/>
      <c r="M21" s="76"/>
      <c r="N21" s="104"/>
      <c r="O21" s="76"/>
      <c r="P21"/>
      <c r="Q21" s="38"/>
      <c r="R21" s="38"/>
      <c r="S21" s="100"/>
      <c r="T21" s="38"/>
      <c r="U21" s="38"/>
      <c r="V21" s="47"/>
      <c r="W21" s="47"/>
    </row>
    <row r="22" spans="2:23" ht="16.2" customHeight="1">
      <c r="B22" s="5">
        <v>21</v>
      </c>
      <c r="C22" s="36">
        <f t="shared" ca="1" si="0"/>
        <v>46090</v>
      </c>
      <c r="D22" s="38"/>
      <c r="E22" s="38"/>
      <c r="F22" s="38"/>
      <c r="G22" s="131"/>
      <c r="H22" s="101"/>
      <c r="I22" s="100"/>
      <c r="J22" s="113"/>
      <c r="K22" s="112"/>
      <c r="L22" s="104"/>
      <c r="M22" s="112"/>
      <c r="N22" s="104"/>
      <c r="O22" s="76"/>
      <c r="P22"/>
      <c r="Q22" s="38"/>
      <c r="R22" s="38"/>
      <c r="S22" s="100"/>
      <c r="T22" s="38"/>
      <c r="V22" s="47"/>
      <c r="W22" s="47"/>
    </row>
    <row r="23" spans="2:23">
      <c r="B23" s="5">
        <v>22</v>
      </c>
      <c r="C23" s="36">
        <f t="shared" ca="1" si="0"/>
        <v>46090</v>
      </c>
      <c r="D23" s="115"/>
      <c r="E23" s="38"/>
      <c r="F23" s="38"/>
      <c r="G23" s="131"/>
      <c r="H23" s="103"/>
      <c r="I23" s="100"/>
      <c r="J23" s="110"/>
      <c r="K23" s="105"/>
      <c r="L23" s="104"/>
      <c r="M23" s="105"/>
      <c r="N23" s="104"/>
      <c r="O23" s="76"/>
      <c r="P23"/>
      <c r="Q23" s="38"/>
      <c r="R23" s="38"/>
      <c r="S23" s="38"/>
      <c r="T23" s="38"/>
      <c r="V23" s="47"/>
      <c r="W23" s="47"/>
    </row>
    <row r="24" spans="2:23" ht="15" thickBot="1">
      <c r="B24" s="5">
        <v>23</v>
      </c>
      <c r="C24" s="36">
        <f t="shared" ca="1" si="0"/>
        <v>46090</v>
      </c>
      <c r="D24" s="115"/>
      <c r="E24" s="38"/>
      <c r="F24" s="38"/>
      <c r="G24" s="95"/>
      <c r="H24" s="101"/>
      <c r="I24" s="38"/>
      <c r="J24" s="113"/>
      <c r="K24" s="111"/>
      <c r="L24" s="104"/>
      <c r="N24" s="104"/>
      <c r="O24" s="76"/>
      <c r="P24"/>
      <c r="Q24" s="38"/>
      <c r="R24" s="38"/>
      <c r="S24" s="38"/>
      <c r="T24" s="38"/>
      <c r="V24" s="47"/>
      <c r="W24" s="47"/>
    </row>
    <row r="25" spans="2:23" ht="15" thickBot="1">
      <c r="B25" s="5">
        <v>24</v>
      </c>
      <c r="C25" s="36">
        <f t="shared" ca="1" si="0"/>
        <v>46090</v>
      </c>
      <c r="D25" s="126"/>
      <c r="E25" s="38"/>
      <c r="F25" s="38"/>
      <c r="G25" s="95"/>
      <c r="H25" s="102"/>
      <c r="I25" s="38"/>
      <c r="J25" s="113"/>
      <c r="K25" s="99"/>
      <c r="L25" s="38"/>
      <c r="N25" s="100"/>
      <c r="O25" s="76"/>
      <c r="P25"/>
      <c r="Q25" s="38"/>
      <c r="R25" s="38"/>
      <c r="S25" s="38"/>
      <c r="T25" s="38"/>
      <c r="V25" s="50"/>
      <c r="W25" s="47"/>
    </row>
    <row r="26" spans="2:23" ht="15.6">
      <c r="B26" s="5">
        <v>25</v>
      </c>
      <c r="C26" s="36">
        <f t="shared" ca="1" si="0"/>
        <v>46090</v>
      </c>
      <c r="D26" s="127"/>
      <c r="E26" s="38"/>
      <c r="F26" s="38"/>
      <c r="G26" s="114"/>
      <c r="H26" s="102"/>
      <c r="I26" s="38"/>
      <c r="J26" s="113"/>
      <c r="K26" s="105"/>
      <c r="L26" s="38"/>
      <c r="O26" s="105"/>
      <c r="P26"/>
      <c r="Q26" s="93"/>
      <c r="R26" s="38"/>
      <c r="S26" s="38"/>
      <c r="T26" s="38"/>
      <c r="V26" s="50"/>
      <c r="W26" s="47"/>
    </row>
    <row r="27" spans="2:23" ht="15.6">
      <c r="B27" s="5">
        <v>26</v>
      </c>
      <c r="C27" s="36">
        <f t="shared" ca="1" si="0"/>
        <v>46090</v>
      </c>
      <c r="D27" s="127"/>
      <c r="E27" s="38"/>
      <c r="F27" s="38"/>
      <c r="G27" s="114"/>
      <c r="H27" s="102"/>
      <c r="I27" s="38"/>
      <c r="J27" s="113"/>
      <c r="K27" s="105"/>
      <c r="L27" s="38"/>
      <c r="O27" s="105"/>
      <c r="P27"/>
      <c r="Q27" s="93"/>
      <c r="R27" s="38"/>
      <c r="S27" s="38"/>
      <c r="T27" s="38"/>
      <c r="V27" s="45"/>
      <c r="W27" s="47"/>
    </row>
    <row r="28" spans="2:23" ht="15.6">
      <c r="B28" s="5">
        <v>27</v>
      </c>
      <c r="C28" s="36">
        <f t="shared" ca="1" si="0"/>
        <v>46090</v>
      </c>
      <c r="D28" s="128"/>
      <c r="F28" s="108"/>
      <c r="G28" s="114"/>
      <c r="H28" s="102"/>
      <c r="I28" s="100"/>
      <c r="J28" s="113"/>
      <c r="L28" s="104"/>
      <c r="O28" s="106"/>
      <c r="P28"/>
      <c r="Q28" s="93"/>
      <c r="R28" s="38"/>
      <c r="S28" s="38"/>
      <c r="T28" s="38"/>
      <c r="U28" s="38"/>
      <c r="V28" s="45"/>
      <c r="W28" s="47"/>
    </row>
    <row r="29" spans="2:23" ht="15.6">
      <c r="B29" s="5">
        <v>28</v>
      </c>
      <c r="C29" s="36">
        <f t="shared" ca="1" si="0"/>
        <v>46090</v>
      </c>
      <c r="F29" s="108"/>
      <c r="G29" s="114"/>
      <c r="H29" s="37"/>
      <c r="I29" s="100"/>
      <c r="J29" s="38"/>
      <c r="L29" s="104"/>
      <c r="O29" s="105"/>
      <c r="P29" s="76"/>
      <c r="Q29" s="93"/>
      <c r="R29" s="38"/>
      <c r="S29" s="38"/>
      <c r="T29" s="38"/>
      <c r="U29" s="38"/>
      <c r="V29" s="45"/>
      <c r="W29" s="47"/>
    </row>
    <row r="30" spans="2:23">
      <c r="B30" s="5">
        <v>30</v>
      </c>
      <c r="C30" s="36">
        <f t="shared" ca="1" si="0"/>
        <v>46090</v>
      </c>
      <c r="F30" s="108"/>
      <c r="G30" s="94"/>
      <c r="H30" s="37"/>
      <c r="J30" s="38"/>
      <c r="L30" s="104"/>
      <c r="N30" s="110"/>
      <c r="O30" s="105"/>
      <c r="P30" s="38"/>
      <c r="Q30" s="93"/>
      <c r="R30" s="38"/>
      <c r="S30" s="38"/>
      <c r="T30" s="38"/>
      <c r="U30" s="38"/>
      <c r="V30" s="45"/>
      <c r="W30" s="47"/>
    </row>
    <row r="31" spans="2:23">
      <c r="B31" s="5">
        <v>31</v>
      </c>
      <c r="C31" s="36">
        <f t="shared" ca="1" si="0"/>
        <v>46090</v>
      </c>
      <c r="F31" s="109"/>
      <c r="G31" s="94"/>
      <c r="H31" s="37"/>
      <c r="J31" s="38"/>
      <c r="L31" s="104"/>
      <c r="N31" s="97"/>
      <c r="O31" s="105"/>
      <c r="P31" s="38"/>
      <c r="Q31" s="93"/>
      <c r="R31" s="38"/>
      <c r="S31" s="38"/>
      <c r="T31" s="38"/>
      <c r="U31" s="38"/>
      <c r="V31" s="45"/>
      <c r="W31" s="47"/>
    </row>
    <row r="32" spans="2:23">
      <c r="B32" s="5">
        <v>34</v>
      </c>
      <c r="C32" s="36">
        <f t="shared" ca="1" si="0"/>
        <v>46090</v>
      </c>
      <c r="F32" s="109"/>
      <c r="G32" s="94"/>
      <c r="H32" s="37"/>
      <c r="J32" s="38"/>
      <c r="L32" s="104"/>
      <c r="N32" s="97"/>
      <c r="O32" s="105"/>
      <c r="P32" s="38"/>
      <c r="Q32" s="93"/>
      <c r="R32" s="38"/>
      <c r="S32" s="38"/>
      <c r="T32" s="38"/>
      <c r="U32" s="38"/>
      <c r="V32" s="45"/>
      <c r="W32" s="47"/>
    </row>
    <row r="33" spans="2:23" ht="15" thickBot="1">
      <c r="B33" s="5">
        <v>35</v>
      </c>
      <c r="C33" s="36">
        <f t="shared" ca="1" si="0"/>
        <v>46090</v>
      </c>
      <c r="F33" s="109"/>
      <c r="G33" s="94"/>
      <c r="H33" s="37"/>
      <c r="J33"/>
      <c r="L33" s="104"/>
      <c r="N33" s="97"/>
      <c r="O33" s="98"/>
      <c r="P33" s="38"/>
      <c r="Q33" s="93"/>
      <c r="R33" s="38"/>
      <c r="S33" s="38"/>
      <c r="T33" s="38"/>
      <c r="U33" s="38"/>
      <c r="V33" s="45"/>
      <c r="W33" s="47"/>
    </row>
    <row r="34" spans="2:23" ht="15" thickBot="1">
      <c r="B34" s="5">
        <v>36</v>
      </c>
      <c r="C34" s="36">
        <f t="shared" ca="1" si="0"/>
        <v>46090</v>
      </c>
      <c r="F34" s="107"/>
      <c r="G34" s="94"/>
      <c r="H34" s="37"/>
      <c r="J34" s="38"/>
      <c r="L34" s="104"/>
      <c r="N34" s="97"/>
      <c r="O34" s="99"/>
      <c r="P34" s="38"/>
      <c r="Q34" s="93"/>
      <c r="R34" s="38"/>
      <c r="S34" s="38"/>
      <c r="T34" s="38"/>
      <c r="U34" s="38"/>
      <c r="V34" s="45"/>
      <c r="W34" s="47"/>
    </row>
    <row r="35" spans="2:23">
      <c r="B35" s="5">
        <v>38</v>
      </c>
      <c r="C35" s="36">
        <f t="shared" ca="1" si="0"/>
        <v>46090</v>
      </c>
      <c r="F35" s="107"/>
      <c r="G35" s="94"/>
      <c r="H35" s="37"/>
      <c r="J35" s="38"/>
      <c r="L35" s="104"/>
      <c r="N35" s="97"/>
      <c r="O35" s="38"/>
      <c r="P35" s="38"/>
      <c r="Q35" s="38"/>
      <c r="R35" s="38"/>
      <c r="S35" s="38"/>
      <c r="T35" s="38"/>
      <c r="U35" s="38"/>
      <c r="V35" s="45"/>
      <c r="W35" s="47"/>
    </row>
    <row r="36" spans="2:23">
      <c r="B36" s="5">
        <v>39</v>
      </c>
      <c r="C36" s="36">
        <f t="shared" ca="1" si="0"/>
        <v>46090</v>
      </c>
      <c r="G36" s="94"/>
      <c r="H36" s="37"/>
      <c r="J36" s="38"/>
      <c r="L36" s="104"/>
      <c r="N36" s="97"/>
      <c r="O36" s="38"/>
      <c r="P36" s="37"/>
      <c r="Q36" s="59"/>
      <c r="R36" s="60"/>
      <c r="S36" s="38"/>
      <c r="T36" s="38"/>
      <c r="U36" s="38"/>
      <c r="V36" s="45"/>
      <c r="W36" s="47"/>
    </row>
    <row r="37" spans="2:23">
      <c r="B37" s="5">
        <v>40</v>
      </c>
      <c r="C37" s="36">
        <f t="shared" ca="1" si="0"/>
        <v>46090</v>
      </c>
      <c r="G37" s="94"/>
      <c r="H37" s="37"/>
      <c r="J37" s="38"/>
      <c r="L37" s="104"/>
      <c r="N37" s="97"/>
      <c r="O37" s="38"/>
      <c r="P37" s="37"/>
      <c r="Q37" s="59"/>
      <c r="R37" s="90"/>
      <c r="S37" s="38"/>
      <c r="T37" s="38"/>
      <c r="U37" s="34"/>
      <c r="V37" s="45"/>
      <c r="W37" s="47"/>
    </row>
    <row r="38" spans="2:23">
      <c r="B38" s="5">
        <v>41</v>
      </c>
      <c r="C38" s="36">
        <f t="shared" ca="1" si="0"/>
        <v>46090</v>
      </c>
      <c r="G38" s="94"/>
      <c r="H38" s="37"/>
      <c r="J38" s="38"/>
      <c r="L38" s="104"/>
      <c r="N38" s="97"/>
      <c r="O38" s="38"/>
      <c r="P38" s="37"/>
      <c r="Q38" s="59"/>
      <c r="R38" s="90"/>
      <c r="S38" s="38"/>
      <c r="T38" s="38"/>
      <c r="U38" s="34"/>
      <c r="V38" s="45"/>
      <c r="W38" s="47"/>
    </row>
    <row r="39" spans="2:23">
      <c r="B39" s="5">
        <v>42</v>
      </c>
      <c r="C39" s="36">
        <f t="shared" ca="1" si="0"/>
        <v>46090</v>
      </c>
      <c r="G39" s="94"/>
      <c r="H39" s="37"/>
      <c r="I39" s="95"/>
      <c r="J39" s="38"/>
      <c r="L39" s="94"/>
      <c r="N39" s="97"/>
      <c r="O39" s="76"/>
      <c r="P39" s="37"/>
      <c r="Q39" s="59"/>
      <c r="R39" s="90"/>
      <c r="S39" s="38"/>
      <c r="T39" s="38"/>
      <c r="U39" s="34"/>
      <c r="V39" s="45"/>
      <c r="W39" s="47"/>
    </row>
    <row r="40" spans="2:23">
      <c r="B40" s="5">
        <v>43</v>
      </c>
      <c r="C40" s="36">
        <f t="shared" ca="1" si="0"/>
        <v>46090</v>
      </c>
      <c r="D40" s="38"/>
      <c r="E40" s="59"/>
      <c r="F40" s="96"/>
      <c r="G40" s="104"/>
      <c r="H40" s="37"/>
      <c r="I40" s="95"/>
      <c r="J40" s="38"/>
      <c r="L40" s="94"/>
      <c r="N40" s="97"/>
      <c r="O40" s="38"/>
      <c r="P40" s="38"/>
      <c r="Q40" s="59"/>
      <c r="R40" s="90"/>
      <c r="S40" s="37"/>
      <c r="T40" s="38"/>
      <c r="U40" s="34"/>
      <c r="V40" s="45"/>
      <c r="W40" s="47"/>
    </row>
    <row r="41" spans="2:23">
      <c r="B41" s="5">
        <v>44</v>
      </c>
      <c r="C41" s="36">
        <f t="shared" ca="1" si="0"/>
        <v>46090</v>
      </c>
      <c r="D41" s="38"/>
      <c r="E41" s="59"/>
      <c r="F41" s="96"/>
      <c r="G41" s="94"/>
      <c r="H41" s="37"/>
      <c r="I41" s="95"/>
      <c r="J41" s="38"/>
      <c r="L41" s="94"/>
      <c r="N41" s="97"/>
      <c r="O41" s="88"/>
      <c r="P41" s="38"/>
      <c r="Q41" s="59"/>
      <c r="R41" s="90"/>
      <c r="S41" s="38"/>
      <c r="T41" s="38"/>
      <c r="U41" s="34"/>
      <c r="V41" s="45"/>
      <c r="W41" s="47"/>
    </row>
    <row r="42" spans="2:23">
      <c r="B42" s="5">
        <v>45</v>
      </c>
      <c r="C42" s="36">
        <f t="shared" ca="1" si="0"/>
        <v>46090</v>
      </c>
      <c r="D42" s="38"/>
      <c r="E42" s="59"/>
      <c r="F42" s="38"/>
      <c r="G42" s="59"/>
      <c r="H42" s="37"/>
      <c r="I42" s="95"/>
      <c r="J42" s="38"/>
      <c r="L42" s="94"/>
      <c r="N42" s="62"/>
      <c r="O42" s="89"/>
      <c r="P42" s="38"/>
      <c r="Q42" s="91"/>
      <c r="R42" s="90"/>
      <c r="S42" s="38"/>
      <c r="T42" s="38"/>
      <c r="U42" s="34"/>
      <c r="V42" s="45"/>
      <c r="W42" s="47"/>
    </row>
    <row r="43" spans="2:23">
      <c r="B43" s="5">
        <v>46</v>
      </c>
      <c r="C43" s="36">
        <f t="shared" ca="1" si="0"/>
        <v>46090</v>
      </c>
      <c r="D43" s="38"/>
      <c r="E43" s="59"/>
      <c r="F43" s="38"/>
      <c r="G43" s="59"/>
      <c r="H43" s="37"/>
      <c r="I43" s="95"/>
      <c r="J43" s="86"/>
      <c r="L43" s="86"/>
      <c r="N43" s="60"/>
      <c r="O43" s="89"/>
      <c r="P43" s="38"/>
      <c r="Q43" s="59"/>
      <c r="R43" s="90"/>
      <c r="S43" s="38"/>
      <c r="T43" s="38"/>
      <c r="U43" s="34"/>
      <c r="V43" s="45"/>
      <c r="W43" s="47"/>
    </row>
    <row r="44" spans="2:23">
      <c r="B44" s="5">
        <v>47</v>
      </c>
      <c r="C44" s="36">
        <f t="shared" ca="1" si="0"/>
        <v>46090</v>
      </c>
      <c r="D44" s="38"/>
      <c r="E44" s="46"/>
      <c r="F44" s="34"/>
      <c r="G44" s="34"/>
      <c r="H44" s="37"/>
      <c r="I44" s="95"/>
      <c r="J44" s="85"/>
      <c r="L44" s="87"/>
      <c r="N44" s="38"/>
      <c r="O44" s="38"/>
      <c r="P44" s="38"/>
      <c r="Q44" s="38"/>
      <c r="R44" s="38"/>
      <c r="S44" s="38"/>
      <c r="T44" s="38"/>
      <c r="U44" s="48"/>
      <c r="V44" s="45"/>
      <c r="W44" s="47"/>
    </row>
    <row r="45" spans="2:23">
      <c r="B45" s="5">
        <v>48</v>
      </c>
      <c r="C45" s="36">
        <f t="shared" ca="1" si="0"/>
        <v>46090</v>
      </c>
      <c r="D45" s="38"/>
      <c r="E45" s="46"/>
      <c r="F45" s="34"/>
      <c r="G45" s="34"/>
      <c r="H45" s="37"/>
      <c r="I45" s="95"/>
      <c r="J45" s="85"/>
      <c r="L45" s="87"/>
      <c r="N45" s="38"/>
      <c r="O45" s="38"/>
      <c r="P45" s="38"/>
      <c r="Q45" s="37"/>
      <c r="R45" s="37"/>
      <c r="S45" s="37"/>
      <c r="T45" s="38"/>
      <c r="U45" s="48"/>
      <c r="V45" s="45"/>
      <c r="W45" s="47"/>
    </row>
    <row r="46" spans="2:23">
      <c r="B46" s="5">
        <v>49</v>
      </c>
      <c r="C46" s="36">
        <f t="shared" ca="1" si="0"/>
        <v>46090</v>
      </c>
      <c r="D46" s="38"/>
      <c r="E46" s="46"/>
      <c r="F46" s="46"/>
      <c r="G46" s="34"/>
      <c r="H46" s="86"/>
      <c r="I46" s="95"/>
      <c r="J46" s="85"/>
      <c r="L46" s="92"/>
      <c r="N46" s="38"/>
      <c r="O46" s="38"/>
      <c r="P46" s="38"/>
      <c r="Q46" s="38"/>
      <c r="R46" s="38"/>
      <c r="S46" s="38"/>
      <c r="T46" s="38"/>
      <c r="U46" s="48"/>
      <c r="V46" s="45"/>
      <c r="W46" s="47"/>
    </row>
    <row r="47" spans="2:23">
      <c r="B47" s="5">
        <v>50</v>
      </c>
      <c r="C47" s="36">
        <f t="shared" ca="1" si="0"/>
        <v>46090</v>
      </c>
      <c r="D47" s="85"/>
      <c r="E47" s="46"/>
      <c r="F47" s="46"/>
      <c r="G47" s="34"/>
      <c r="H47" s="86"/>
      <c r="I47" s="95"/>
      <c r="J47" s="85"/>
      <c r="L47" s="87"/>
      <c r="N47" s="38"/>
      <c r="O47" s="38"/>
      <c r="P47" s="38"/>
      <c r="Q47" s="37"/>
      <c r="R47" s="37"/>
      <c r="S47" s="37"/>
      <c r="T47" s="38"/>
      <c r="U47" s="48"/>
      <c r="V47" s="45"/>
      <c r="W47" s="47"/>
    </row>
    <row r="48" spans="2:23">
      <c r="B48" s="5">
        <v>51</v>
      </c>
      <c r="C48" s="36">
        <f t="shared" ca="1" si="0"/>
        <v>46090</v>
      </c>
      <c r="D48" s="85"/>
      <c r="E48" s="46"/>
      <c r="F48" s="46"/>
      <c r="G48" s="34"/>
      <c r="H48" s="86"/>
      <c r="I48" s="95"/>
      <c r="J48" s="62"/>
      <c r="L48" s="87"/>
      <c r="N48" s="38"/>
      <c r="O48" s="38"/>
      <c r="P48" s="38"/>
      <c r="Q48" s="37"/>
      <c r="R48" s="37"/>
      <c r="S48" s="37"/>
      <c r="T48" s="38"/>
      <c r="U48" s="48"/>
      <c r="V48" s="45"/>
      <c r="W48" s="47"/>
    </row>
    <row r="49" spans="2:23">
      <c r="B49" s="5">
        <v>52</v>
      </c>
      <c r="C49" s="38"/>
      <c r="D49" s="86"/>
      <c r="E49" s="86"/>
      <c r="F49" s="86"/>
      <c r="G49" s="86"/>
      <c r="H49" s="86"/>
      <c r="I49" s="95"/>
      <c r="J49" s="62"/>
      <c r="L49" s="59"/>
      <c r="N49" s="38"/>
      <c r="O49" s="38"/>
      <c r="P49" s="38"/>
      <c r="Q49" s="37"/>
      <c r="R49" s="37"/>
      <c r="S49" s="37"/>
      <c r="T49" s="38"/>
      <c r="U49" s="48"/>
      <c r="V49" s="45"/>
      <c r="W49" s="47"/>
    </row>
    <row r="50" spans="2:23">
      <c r="B50" s="5">
        <v>53</v>
      </c>
      <c r="C50" s="38"/>
      <c r="D50" s="62"/>
      <c r="E50" s="86"/>
      <c r="F50" s="86"/>
      <c r="G50" s="86"/>
      <c r="H50" s="37"/>
      <c r="I50" s="95"/>
      <c r="J50" s="62"/>
      <c r="L50" s="59"/>
      <c r="N50" s="38"/>
      <c r="O50" s="38"/>
      <c r="P50" s="38"/>
      <c r="Q50" s="37"/>
      <c r="R50" s="37"/>
      <c r="S50" s="37"/>
      <c r="T50" s="38"/>
      <c r="U50" s="48"/>
      <c r="V50" s="45"/>
      <c r="W50" s="47"/>
    </row>
    <row r="51" spans="2:23">
      <c r="B51" s="5">
        <v>54</v>
      </c>
      <c r="C51" s="38"/>
      <c r="D51" s="62"/>
      <c r="E51" s="59"/>
      <c r="F51" s="59"/>
      <c r="G51" s="61"/>
      <c r="H51" s="37"/>
      <c r="I51" s="95"/>
      <c r="J51" s="62"/>
      <c r="L51" s="68"/>
      <c r="N51" s="38"/>
      <c r="O51" s="37"/>
      <c r="P51" s="37"/>
      <c r="Q51" s="37"/>
      <c r="R51" s="37"/>
      <c r="S51" s="37"/>
      <c r="T51" s="38"/>
      <c r="U51" s="48"/>
      <c r="V51" s="45"/>
      <c r="W51" s="47"/>
    </row>
    <row r="52" spans="2:23">
      <c r="B52" s="5">
        <v>55</v>
      </c>
      <c r="C52" s="38"/>
      <c r="D52" s="59"/>
      <c r="E52" s="59"/>
      <c r="F52" s="59"/>
      <c r="G52" s="61"/>
      <c r="H52" s="46"/>
      <c r="I52" s="95"/>
      <c r="J52" s="60"/>
      <c r="L52" s="67"/>
      <c r="N52" s="38"/>
      <c r="O52" s="37"/>
      <c r="P52" s="37"/>
      <c r="Q52" s="37"/>
      <c r="R52" s="37"/>
      <c r="S52" s="37"/>
      <c r="T52" s="38"/>
      <c r="U52" s="48"/>
      <c r="V52" s="45"/>
      <c r="W52" s="47"/>
    </row>
    <row r="53" spans="2:23">
      <c r="B53" s="5">
        <v>56</v>
      </c>
      <c r="C53" s="38"/>
      <c r="D53" s="59"/>
      <c r="E53" s="59"/>
      <c r="F53" s="59"/>
      <c r="G53" s="60"/>
      <c r="H53" s="37"/>
      <c r="I53" s="95"/>
      <c r="J53" s="60"/>
      <c r="L53" s="67"/>
      <c r="N53" s="38"/>
      <c r="O53" s="37"/>
      <c r="P53" s="37"/>
      <c r="Q53" s="37"/>
      <c r="R53" s="37"/>
      <c r="S53" s="37"/>
      <c r="U53" s="48"/>
      <c r="V53" s="45"/>
      <c r="W53" s="47"/>
    </row>
    <row r="54" spans="2:23">
      <c r="B54" s="5">
        <v>57</v>
      </c>
      <c r="C54" s="38"/>
      <c r="D54" s="63"/>
      <c r="E54" s="59"/>
      <c r="F54" s="59"/>
      <c r="G54" s="60"/>
      <c r="H54" s="37"/>
      <c r="I54" s="95"/>
      <c r="J54" s="62"/>
      <c r="L54" s="67"/>
      <c r="N54" s="38"/>
      <c r="O54" s="37"/>
      <c r="P54" s="37"/>
      <c r="Q54" s="37"/>
      <c r="R54" s="37"/>
      <c r="S54" s="37"/>
      <c r="T54" s="38"/>
      <c r="U54" s="48"/>
      <c r="V54" s="45"/>
      <c r="W54" s="47"/>
    </row>
    <row r="55" spans="2:23">
      <c r="B55" s="5">
        <v>58</v>
      </c>
      <c r="C55" s="38"/>
      <c r="D55" s="43"/>
      <c r="E55" s="38"/>
      <c r="F55" s="37"/>
      <c r="G55" s="48"/>
      <c r="H55" s="37"/>
      <c r="I55" s="95"/>
      <c r="J55" s="43"/>
      <c r="L55" s="66"/>
      <c r="N55" s="38"/>
      <c r="O55" s="37"/>
      <c r="P55" s="37"/>
      <c r="Q55" s="37"/>
      <c r="R55" s="37"/>
      <c r="S55" s="37"/>
      <c r="T55" s="38"/>
      <c r="U55" s="48"/>
      <c r="V55" s="44"/>
      <c r="W55" s="47"/>
    </row>
    <row r="56" spans="2:23">
      <c r="B56" s="5">
        <v>59</v>
      </c>
      <c r="C56" s="38"/>
      <c r="D56" s="43"/>
      <c r="E56" s="51"/>
      <c r="F56" s="37"/>
      <c r="G56" s="48"/>
      <c r="H56" s="37"/>
      <c r="I56" s="95"/>
      <c r="J56" s="43"/>
      <c r="L56" s="69"/>
      <c r="N56" s="38"/>
      <c r="O56" s="37"/>
      <c r="P56" s="37"/>
      <c r="Q56" s="37"/>
      <c r="R56" s="37"/>
      <c r="S56" s="37"/>
      <c r="T56" s="37"/>
      <c r="U56" s="48"/>
      <c r="V56" s="44"/>
      <c r="W56" s="47"/>
    </row>
    <row r="57" spans="2:23">
      <c r="B57" s="5">
        <v>60</v>
      </c>
      <c r="C57" s="38"/>
      <c r="D57" s="43"/>
      <c r="E57" s="38"/>
      <c r="F57" s="38"/>
      <c r="G57" s="48"/>
      <c r="H57" s="37"/>
      <c r="I57" s="95"/>
      <c r="J57" s="43"/>
      <c r="L57" s="69"/>
      <c r="N57" s="38"/>
      <c r="O57" s="37"/>
      <c r="P57" s="37"/>
      <c r="Q57" s="37"/>
      <c r="R57" s="37"/>
      <c r="S57" s="37"/>
      <c r="T57" s="37"/>
      <c r="U57" s="48"/>
      <c r="V57" s="44"/>
      <c r="W57" s="47"/>
    </row>
    <row r="58" spans="2:23" ht="15.6">
      <c r="B58" s="5">
        <v>61</v>
      </c>
      <c r="C58" s="38"/>
      <c r="D58" s="43"/>
      <c r="E58" s="52"/>
      <c r="F58" s="52"/>
      <c r="G58" s="48"/>
      <c r="H58" s="37"/>
      <c r="I58" s="95"/>
      <c r="J58" s="53"/>
      <c r="L58" s="70"/>
      <c r="N58" s="38"/>
      <c r="O58" s="37"/>
      <c r="P58" s="37"/>
      <c r="Q58" s="37"/>
      <c r="R58" s="37"/>
      <c r="S58" s="37"/>
      <c r="T58" s="37"/>
      <c r="U58" s="48"/>
      <c r="V58" s="44"/>
      <c r="W58" s="47"/>
    </row>
    <row r="59" spans="2:23" ht="15.6">
      <c r="B59" s="5">
        <v>62</v>
      </c>
      <c r="C59" s="38"/>
      <c r="D59" s="43"/>
      <c r="E59" s="52"/>
      <c r="F59" s="52"/>
      <c r="G59" s="48"/>
      <c r="H59" s="37"/>
      <c r="I59" s="95"/>
      <c r="J59" s="54"/>
      <c r="L59" s="70"/>
      <c r="N59" s="38"/>
      <c r="O59" s="37"/>
      <c r="P59" s="37"/>
      <c r="Q59" s="37"/>
      <c r="R59" s="37"/>
      <c r="S59" s="37"/>
      <c r="T59" s="37"/>
      <c r="U59" s="48"/>
      <c r="V59" s="44"/>
      <c r="W59" s="47"/>
    </row>
    <row r="60" spans="2:23" ht="15.6">
      <c r="B60" s="5">
        <v>63</v>
      </c>
      <c r="C60" s="38"/>
      <c r="D60" s="43"/>
      <c r="E60" s="52"/>
      <c r="F60" s="52"/>
      <c r="G60" s="48"/>
      <c r="H60" s="37"/>
      <c r="I60" s="95"/>
      <c r="J60" s="54"/>
      <c r="L60" s="70"/>
      <c r="N60" s="38"/>
      <c r="O60" s="37"/>
      <c r="P60" s="37"/>
      <c r="Q60" s="37"/>
      <c r="R60" s="37"/>
      <c r="S60" s="37"/>
      <c r="T60" s="37"/>
      <c r="U60" s="48"/>
      <c r="V60" s="44"/>
      <c r="W60" s="47"/>
    </row>
    <row r="61" spans="2:23">
      <c r="B61" s="5">
        <v>64</v>
      </c>
      <c r="C61" s="38"/>
      <c r="D61" s="48"/>
      <c r="E61" s="48"/>
      <c r="F61" s="48"/>
      <c r="G61" s="48"/>
      <c r="H61" s="37"/>
      <c r="I61" s="95"/>
      <c r="J61" s="48"/>
      <c r="L61" s="66"/>
      <c r="N61" s="38"/>
      <c r="O61" s="37"/>
      <c r="P61" s="37"/>
      <c r="Q61" s="37"/>
      <c r="R61" s="37"/>
      <c r="S61" s="37"/>
      <c r="T61" s="37"/>
      <c r="U61" s="48"/>
      <c r="V61" s="44"/>
      <c r="W61" s="47"/>
    </row>
    <row r="62" spans="2:23">
      <c r="B62" s="5">
        <v>65</v>
      </c>
      <c r="C62" s="38"/>
      <c r="D62" s="48"/>
      <c r="E62" s="48"/>
      <c r="F62" s="48"/>
      <c r="G62" s="48"/>
      <c r="H62" s="37"/>
      <c r="I62" s="95"/>
      <c r="J62" s="48"/>
      <c r="L62" s="66"/>
      <c r="N62" s="38"/>
      <c r="O62" s="37"/>
      <c r="P62" s="37"/>
      <c r="Q62" s="37"/>
      <c r="R62" s="37"/>
      <c r="S62" s="37"/>
      <c r="T62" s="37"/>
      <c r="U62" s="48"/>
      <c r="V62" s="44"/>
      <c r="W62" s="47"/>
    </row>
    <row r="63" spans="2:23">
      <c r="B63" s="5">
        <v>66</v>
      </c>
      <c r="C63" s="38"/>
      <c r="D63" s="48"/>
      <c r="E63" s="48"/>
      <c r="F63" s="48"/>
      <c r="G63" s="48"/>
      <c r="H63" s="37"/>
      <c r="I63" s="95"/>
      <c r="J63" s="48"/>
      <c r="L63" s="71"/>
      <c r="N63" s="38"/>
      <c r="O63" s="37"/>
      <c r="P63" s="37"/>
      <c r="Q63" s="37"/>
      <c r="R63" s="37"/>
      <c r="S63" s="37"/>
      <c r="T63" s="37"/>
      <c r="U63" s="48"/>
      <c r="V63" s="44"/>
      <c r="W63" s="47"/>
    </row>
    <row r="64" spans="2:23">
      <c r="B64" s="5">
        <v>67</v>
      </c>
      <c r="C64" s="38"/>
      <c r="D64" s="48"/>
      <c r="E64" s="48"/>
      <c r="F64" s="48"/>
      <c r="G64" s="48"/>
      <c r="H64" s="37"/>
      <c r="I64" s="95"/>
      <c r="J64" s="48"/>
      <c r="L64" s="71"/>
      <c r="N64" s="38"/>
      <c r="O64" s="37"/>
      <c r="P64" s="37"/>
      <c r="Q64" s="37"/>
      <c r="R64" s="37"/>
      <c r="S64" s="37"/>
      <c r="T64" s="37"/>
      <c r="U64" s="48"/>
      <c r="V64" s="44"/>
      <c r="W64" s="47"/>
    </row>
    <row r="65" spans="2:23">
      <c r="B65" s="5">
        <v>68</v>
      </c>
      <c r="C65" s="36"/>
      <c r="D65" s="37"/>
      <c r="E65" s="37"/>
      <c r="F65" s="37"/>
      <c r="G65" s="37"/>
      <c r="H65" s="37"/>
      <c r="I65" s="95"/>
      <c r="J65" s="48"/>
      <c r="L65" s="66"/>
      <c r="N65" s="38"/>
      <c r="O65" s="37"/>
      <c r="P65" s="37"/>
      <c r="Q65" s="37"/>
      <c r="R65" s="37"/>
      <c r="S65" s="37"/>
      <c r="T65" s="37"/>
      <c r="U65" s="37"/>
      <c r="V65" s="44"/>
      <c r="W65" s="47"/>
    </row>
    <row r="66" spans="2:23">
      <c r="B66" s="5">
        <v>69</v>
      </c>
      <c r="C66" s="36"/>
      <c r="D66" s="37"/>
      <c r="E66" s="37"/>
      <c r="F66" s="37"/>
      <c r="G66" s="37"/>
      <c r="H66" s="37"/>
      <c r="I66" s="95"/>
      <c r="J66" s="43"/>
      <c r="L66" s="66"/>
      <c r="N66" s="38"/>
      <c r="O66" s="37"/>
      <c r="P66" s="37"/>
      <c r="Q66" s="37"/>
      <c r="R66" s="37"/>
      <c r="S66" s="37"/>
      <c r="T66" s="37"/>
      <c r="U66" s="37"/>
      <c r="V66" s="45"/>
      <c r="W66" s="47"/>
    </row>
    <row r="67" spans="2:23">
      <c r="B67" s="5">
        <v>70</v>
      </c>
      <c r="C67" s="36"/>
      <c r="D67" s="37"/>
      <c r="E67" s="37"/>
      <c r="F67" s="37"/>
      <c r="G67" s="37"/>
      <c r="H67" s="37"/>
      <c r="I67" s="95"/>
      <c r="J67" s="37"/>
      <c r="K67" s="66"/>
      <c r="L67" s="38"/>
      <c r="N67" s="38"/>
      <c r="O67" s="37"/>
      <c r="P67" s="37"/>
      <c r="Q67" s="37"/>
      <c r="R67" s="37"/>
      <c r="S67" s="37"/>
      <c r="T67" s="37"/>
      <c r="U67" s="37"/>
      <c r="V67" s="45"/>
      <c r="W67" s="47"/>
    </row>
    <row r="68" spans="2:23">
      <c r="B68" s="5">
        <v>71</v>
      </c>
      <c r="C68" s="36"/>
      <c r="D68" s="37"/>
      <c r="E68" s="37"/>
      <c r="F68" s="37"/>
      <c r="G68" s="37"/>
      <c r="H68" s="37"/>
      <c r="I68" s="95"/>
      <c r="J68" s="37"/>
      <c r="K68" s="66"/>
      <c r="L68" s="38"/>
      <c r="N68" s="38"/>
      <c r="O68" s="37"/>
      <c r="P68" s="37"/>
      <c r="Q68" s="37"/>
      <c r="R68" s="37"/>
      <c r="S68" s="37"/>
      <c r="T68" s="37"/>
      <c r="U68" s="37"/>
      <c r="V68" s="45"/>
      <c r="W68" s="47"/>
    </row>
    <row r="69" spans="2:23">
      <c r="B69" s="5">
        <v>72</v>
      </c>
      <c r="C69" s="36"/>
      <c r="D69" s="37"/>
      <c r="E69" s="37"/>
      <c r="F69" s="37"/>
      <c r="G69" s="37"/>
      <c r="H69" s="37"/>
      <c r="I69" s="95"/>
      <c r="J69" s="37"/>
      <c r="K69" s="66"/>
      <c r="L69" s="38"/>
      <c r="M69" s="38"/>
      <c r="N69" s="37"/>
      <c r="O69" s="37"/>
      <c r="P69" s="37"/>
      <c r="Q69" s="37"/>
      <c r="R69" s="37"/>
      <c r="S69" s="37"/>
      <c r="T69" s="37"/>
      <c r="U69" s="37"/>
      <c r="V69" s="45"/>
      <c r="W69" s="47"/>
    </row>
    <row r="70" spans="2:23">
      <c r="B70" s="5">
        <v>73</v>
      </c>
      <c r="C70" s="36"/>
      <c r="D70" s="77"/>
      <c r="E70" s="55"/>
      <c r="F70" s="49"/>
      <c r="G70" s="49"/>
      <c r="H70" s="34"/>
      <c r="I70" s="95"/>
      <c r="J70" s="56"/>
      <c r="K70" s="72"/>
      <c r="L70" s="38"/>
      <c r="M70" s="35"/>
      <c r="N70" s="34"/>
      <c r="O70" s="34"/>
      <c r="P70" s="34"/>
      <c r="Q70" s="34"/>
      <c r="R70" s="34"/>
      <c r="S70" s="34"/>
      <c r="T70" s="57"/>
      <c r="U70" s="49"/>
      <c r="V70" s="45"/>
      <c r="W70" s="47"/>
    </row>
    <row r="71" spans="2:23">
      <c r="B71" s="5">
        <v>74</v>
      </c>
      <c r="C71" s="36"/>
      <c r="D71" s="78"/>
      <c r="E71" s="55"/>
      <c r="F71" s="49"/>
      <c r="G71" s="49"/>
      <c r="H71" s="34"/>
      <c r="I71" s="95"/>
      <c r="J71" s="55"/>
      <c r="K71" s="72"/>
      <c r="L71" s="38"/>
      <c r="M71" s="35"/>
      <c r="N71" s="34"/>
      <c r="O71" s="34"/>
      <c r="P71" s="34"/>
      <c r="Q71" s="34"/>
      <c r="R71" s="34"/>
      <c r="S71" s="34"/>
      <c r="T71" s="58"/>
      <c r="U71" s="49"/>
      <c r="V71" s="45"/>
      <c r="W71" s="47"/>
    </row>
    <row r="72" spans="2:23">
      <c r="B72" s="5">
        <v>75</v>
      </c>
      <c r="C72" s="36"/>
      <c r="D72" s="77"/>
      <c r="E72" s="55"/>
      <c r="F72" s="49"/>
      <c r="G72" s="49"/>
      <c r="H72" s="34"/>
      <c r="I72" s="95"/>
      <c r="J72" s="57"/>
      <c r="K72" s="73"/>
      <c r="L72" s="38"/>
      <c r="M72" s="35"/>
      <c r="N72" s="34"/>
      <c r="O72" s="34"/>
      <c r="P72" s="34"/>
      <c r="Q72" s="34"/>
      <c r="R72" s="34"/>
      <c r="S72" s="34"/>
      <c r="T72" s="57"/>
      <c r="U72" s="49"/>
      <c r="V72" s="45"/>
      <c r="W72" s="47"/>
    </row>
    <row r="73" spans="2:23">
      <c r="B73" s="5">
        <v>76</v>
      </c>
      <c r="C73" s="36"/>
      <c r="D73" s="77"/>
      <c r="E73" s="49"/>
      <c r="F73" s="49"/>
      <c r="G73" s="49"/>
      <c r="H73" s="34"/>
      <c r="I73" s="95"/>
      <c r="J73" s="55"/>
      <c r="K73" s="72"/>
      <c r="L73" s="38"/>
      <c r="M73" s="35"/>
      <c r="N73" s="34"/>
      <c r="O73" s="34"/>
      <c r="P73" s="34"/>
      <c r="Q73" s="34"/>
      <c r="R73" s="34"/>
      <c r="S73" s="34"/>
      <c r="T73" s="57"/>
      <c r="U73" s="49"/>
      <c r="V73" s="45"/>
      <c r="W73" s="47"/>
    </row>
    <row r="74" spans="2:23">
      <c r="B74" s="5">
        <v>77</v>
      </c>
      <c r="C74" s="36"/>
      <c r="D74" s="79"/>
      <c r="E74" s="49"/>
      <c r="F74" s="49"/>
      <c r="G74" s="49"/>
      <c r="H74" s="34"/>
      <c r="I74" s="95"/>
      <c r="J74" s="56"/>
      <c r="K74" s="72"/>
      <c r="L74" s="38"/>
      <c r="M74" s="35"/>
      <c r="N74" s="34"/>
      <c r="O74" s="34"/>
      <c r="P74" s="34"/>
      <c r="Q74" s="34"/>
      <c r="R74" s="34"/>
      <c r="S74" s="34"/>
      <c r="T74" s="57"/>
      <c r="U74" s="49"/>
      <c r="V74" s="45"/>
      <c r="W74" s="47"/>
    </row>
    <row r="75" spans="2:23">
      <c r="L75" s="38"/>
    </row>
    <row r="83" spans="4:14" ht="15.6">
      <c r="D83" s="80"/>
      <c r="E83" s="25"/>
      <c r="F83" s="22"/>
      <c r="G83" s="23"/>
      <c r="H83" s="26"/>
      <c r="I83" s="27"/>
      <c r="J83" s="28"/>
      <c r="K83" s="74"/>
    </row>
    <row r="84" spans="4:14" ht="15.6">
      <c r="D84" s="80"/>
      <c r="E84" s="25"/>
      <c r="F84" s="22"/>
      <c r="G84" s="23"/>
      <c r="H84" s="24"/>
      <c r="I84" s="32"/>
      <c r="J84" s="28"/>
      <c r="K84" s="74"/>
    </row>
    <row r="85" spans="4:14" ht="15.6">
      <c r="D85" s="81"/>
      <c r="E85" s="25"/>
      <c r="F85" s="22"/>
      <c r="G85" s="23"/>
      <c r="H85" s="24"/>
      <c r="I85" s="22"/>
      <c r="J85" s="29"/>
      <c r="K85" s="74"/>
    </row>
    <row r="86" spans="4:14" ht="15.6">
      <c r="D86" s="80"/>
      <c r="E86" s="30"/>
      <c r="F86" s="22"/>
      <c r="G86" s="23"/>
      <c r="H86" s="24"/>
      <c r="I86" s="22"/>
      <c r="J86" s="31"/>
      <c r="K86" s="74"/>
    </row>
    <row r="87" spans="4:14" ht="15.6">
      <c r="D87" s="82"/>
      <c r="E87" s="25"/>
      <c r="F87" s="25"/>
      <c r="G87" s="23"/>
      <c r="H87" s="33"/>
      <c r="I87" s="22"/>
      <c r="J87" s="23"/>
      <c r="K87" s="74"/>
    </row>
    <row r="88" spans="4:14" ht="15.6">
      <c r="D88" s="82"/>
      <c r="E88" s="25"/>
      <c r="F88" s="25"/>
      <c r="G88" s="23"/>
      <c r="H88" s="24"/>
      <c r="I88" s="22"/>
      <c r="J88" s="23"/>
      <c r="K88" s="74"/>
    </row>
    <row r="89" spans="4:14" ht="15.6">
      <c r="D89" s="83"/>
      <c r="E89" s="25"/>
      <c r="F89" s="25"/>
      <c r="G89" s="23"/>
      <c r="H89" s="33"/>
      <c r="I89" s="22"/>
      <c r="J89" s="23"/>
      <c r="K89" s="74"/>
    </row>
    <row r="94" spans="4:14">
      <c r="D94" s="10"/>
      <c r="E94" s="10"/>
      <c r="F94" s="11"/>
      <c r="G94" s="11"/>
      <c r="H94" s="11"/>
      <c r="I94" s="11"/>
      <c r="J94" s="21"/>
      <c r="K94" s="75"/>
      <c r="L94" s="10"/>
      <c r="M94" s="12"/>
      <c r="N94" s="13"/>
    </row>
  </sheetData>
  <phoneticPr fontId="3" type="noConversion"/>
  <conditionalFormatting sqref="H1">
    <cfRule type="containsText" dxfId="0" priority="7" operator="containsText" text="viv0">
      <formula>NOT(ISERROR(SEARCH("viv0",H1)))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</dc:creator>
  <cp:lastModifiedBy>Vinod Kumar</cp:lastModifiedBy>
  <cp:lastPrinted>2026-01-31T14:53:50Z</cp:lastPrinted>
  <dcterms:created xsi:type="dcterms:W3CDTF">2024-12-14T06:16:51Z</dcterms:created>
  <dcterms:modified xsi:type="dcterms:W3CDTF">2026-03-09T12:40:51Z</dcterms:modified>
</cp:coreProperties>
</file>